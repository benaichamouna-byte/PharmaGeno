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mé" sheetId="1" state="visible" r:id="rId3"/>
    <sheet name="Plan" sheetId="2" state="visible" r:id="rId4"/>
    <sheet name="Décisions" sheetId="3" state="visible" r:id="rId5"/>
    <sheet name="Coupes et risques" sheetId="4" state="visible" r:id="rId6"/>
    <sheet name="Besoins" sheetId="5" state="visible" r:id="rId7"/>
    <sheet name="Journal" sheetId="6" state="visible" r:id="rId8"/>
  </sheets>
  <definedNames>
    <definedName function="false" hidden="true" localSheetId="1" name="_xlnm._FilterDatabase" vbProcedure="false">Plan!$A$1:$Q$37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<sst xmlns="http://schemas.openxmlformats.org/spreadsheetml/2006/main" count="912" uniqueCount="404">
  <si>
    <t xml:space="preserve">Plan définitif PharmaGeno — suivi</t>
  </si>
  <si>
    <t xml:space="preserve">Mémoire « A Deep Learning based Webtool for Mutation-Aware Drug Recommendation » · plan du 12 octobre 2026, mis à jour le 15 octobre 2026</t>
  </si>
  <si>
    <t xml:space="preserve">Date de dépôt (hypothèse, à corriger)</t>
  </si>
  <si>
    <t xml:space="preserve">Hypothèse : « un mois » à partir du 12 oct. La date exacte n'est pas confirmée.</t>
  </si>
  <si>
    <t xml:space="preserve">Jours restants avant le dépôt</t>
  </si>
  <si>
    <t xml:space="preserve">Indicateurs</t>
  </si>
  <si>
    <t xml:space="preserve">Tâches au total</t>
  </si>
  <si>
    <t xml:space="preserve">Faites</t>
  </si>
  <si>
    <t xml:space="preserve">En cours</t>
  </si>
  <si>
    <t xml:space="preserve">Bloquées</t>
  </si>
  <si>
    <t xml:space="preserve">Coupées</t>
  </si>
  <si>
    <t xml:space="preserve">Avancement (faites / total)</t>
  </si>
  <si>
    <t xml:space="preserve">Faites ET vérifiées</t>
  </si>
  <si>
    <t xml:space="preserve">Faites mais non vérifiées</t>
  </si>
  <si>
    <t xml:space="preserve">Faites avec une sauvegarde manquante</t>
  </si>
  <si>
    <t xml:space="preserve">Avancement par semaine</t>
  </si>
  <si>
    <t xml:space="preserve">Semaine</t>
  </si>
  <si>
    <t xml:space="preserve">Période</t>
  </si>
  <si>
    <t xml:space="preserve">Tâches</t>
  </si>
  <si>
    <t xml:space="preserve">Avancement</t>
  </si>
  <si>
    <t xml:space="preserve">S1</t>
  </si>
  <si>
    <t xml:space="preserve">13–19 oct.</t>
  </si>
  <si>
    <t xml:space="preserve">S2</t>
  </si>
  <si>
    <t xml:space="preserve">20–26 oct.</t>
  </si>
  <si>
    <t xml:space="preserve">S3</t>
  </si>
  <si>
    <t xml:space="preserve">27 oct.–2 nov.</t>
  </si>
  <si>
    <t xml:space="preserve">S4</t>
  </si>
  <si>
    <t xml:space="preserve">3–9 nov.</t>
  </si>
  <si>
    <t xml:space="preserve">Marge</t>
  </si>
  <si>
    <t xml:space="preserve">10–12 nov.</t>
  </si>
  <si>
    <t xml:space="preserve">Comment remplir</t>
  </si>
  <si>
    <t xml:space="preserve">Cellules à modifier : dans l'onglet Plan, les colonnes Statut, Vérifié et les 4 colonnes de sauvegarde (texte bleu). Dans cet onglet, la date de dépôt (cellule jaune).</t>
  </si>
  <si>
    <t xml:space="preserve">Exemple : une tâche terminée et contrôlée → Statut = Fait, Vérifié = Vérifié, WSL / Windows / GitHub / Drive = Oui.</t>
  </si>
  <si>
    <t xml:space="preserve">Une ligne devient rouge dans les colonnes de sauvegarde quand la tâche est Fait mais qu'un support est encore à Non.</t>
  </si>
  <si>
    <t xml:space="preserve">« Vérifié » veut dire contrôlé sur le résultat lui-même, pas seulement exécuté. Ordre de sauvegarde : WSL → Windows → GitHub → Drive.</t>
  </si>
  <si>
    <t xml:space="preserve">Les dates de l'onglet Plan sont les bornes de la semaine, pas des échéances précises.</t>
  </si>
  <si>
    <t xml:space="preserve">« À confirmer » dans les colonnes de sauvegarde : support non vu dans cette session ; non compté dans « sauvegarde manquante » ; à remplacer par Oui ou Non.</t>
  </si>
  <si>
    <t xml:space="preserve">Sources citées dans le plan (liens non rouverts pour ce fichier)</t>
  </si>
  <si>
    <t xml:space="preserve">PyPGx</t>
  </si>
  <si>
    <t xml:space="preserve">https://github.com/sbslee/pypgx</t>
  </si>
  <si>
    <t xml:space="preserve">PharmCAT</t>
  </si>
  <si>
    <t xml:space="preserve">https://pharmcat.clinpgx.org</t>
  </si>
  <si>
    <t xml:space="preserve">CPIC</t>
  </si>
  <si>
    <t xml:space="preserve">https://cpicpgx.org/guidelines/</t>
  </si>
  <si>
    <t xml:space="preserve">OMS ATC/DDD</t>
  </si>
  <si>
    <t xml:space="preserve">https://www.whocc.no/atc_ddd_index/</t>
  </si>
  <si>
    <t xml:space="preserve">GeT-RM (CDC)</t>
  </si>
  <si>
    <t xml:space="preserve">https://www.cdc.gov/lab-quality/php/get-rm/reference-materials.html</t>
  </si>
  <si>
    <t xml:space="preserve">ID</t>
  </si>
  <si>
    <t xml:space="preserve">Phase</t>
  </si>
  <si>
    <t xml:space="preserve">Tâche</t>
  </si>
  <si>
    <t xml:space="preserve">Livrable</t>
  </si>
  <si>
    <t xml:space="preserve">Qui</t>
  </si>
  <si>
    <t xml:space="preserve">Début</t>
  </si>
  <si>
    <t xml:space="preserve">Fin</t>
  </si>
  <si>
    <t xml:space="preserve">Statut</t>
  </si>
  <si>
    <t xml:space="preserve">Vérifié</t>
  </si>
  <si>
    <t xml:space="preserve">WSL</t>
  </si>
  <si>
    <t xml:space="preserve">Windows</t>
  </si>
  <si>
    <t xml:space="preserve">GitHub</t>
  </si>
  <si>
    <t xml:space="preserve">Drive</t>
  </si>
  <si>
    <t xml:space="preserve">Coupable (ordre)</t>
  </si>
  <si>
    <t xml:space="preserve">Remarques</t>
  </si>
  <si>
    <t xml:space="preserve">T01</t>
  </si>
  <si>
    <t xml:space="preserve">P0 Cadrage</t>
  </si>
  <si>
    <t xml:space="preserve">GO sur le plan définitif</t>
  </si>
  <si>
    <t xml:space="preserve">Accord écrit de Mouna</t>
  </si>
  <si>
    <t xml:space="preserve">Mouna</t>
  </si>
  <si>
    <t xml:space="preserve">À faire</t>
  </si>
  <si>
    <t xml:space="preserve">Non vérifié</t>
  </si>
  <si>
    <t xml:space="preserve">Sans objet</t>
  </si>
  <si>
    <t xml:space="preserve">Jamais</t>
  </si>
  <si>
    <t xml:space="preserve">Point de départ de tout le reste · 15 oct. : accord non confirmé dans cette conversation ; le travail suit tes « ok » (protocole v7, modèles retenus)</t>
  </si>
  <si>
    <t xml:space="preserve">T02</t>
  </si>
  <si>
    <t xml:space="preserve">Relire controle_regles_v2.csv et remplir verdict_Mouna / commentaire</t>
  </si>
  <si>
    <t xml:space="preserve">controle_regles_v2.csv annoté</t>
  </si>
  <si>
    <t xml:space="preserve">Non</t>
  </si>
  <si>
    <t xml:space="preserve">Par défaut, les lignes sans verdict restent exclues de l'entraînement · 15 oct. : toujours en attente</t>
  </si>
  <si>
    <t xml:space="preserve">T03</t>
  </si>
  <si>
    <t xml:space="preserve">Joindre phenotype_drug_dataset_FINAL.csv, drug_fingerprints_v2.pkl et drug_smiles.csv (sinon tester le téléchargement depuis le Drive)</t>
  </si>
  <si>
    <t xml:space="preserve">3 fichiers disponibles pour Claude</t>
  </si>
  <si>
    <t xml:space="preserve">Fait</t>
  </si>
  <si>
    <t xml:space="preserve">Le téléchargement Drive des gros fichiers n'est pas vérifié · 15 oct. : drug_fingerprints_v2.pkl (437 médicaments, 518 colonnes) et phenotype_drug_dataset_FINAL.csv reçus et utilisés ; drug_smiles.csv non rouvert dans cette session</t>
  </si>
  <si>
    <t xml:space="preserve">T04</t>
  </si>
  <si>
    <t xml:space="preserve">Lire predict_v4.py, app_v4.py, vcf_parser.py et train_fp.py</t>
  </si>
  <si>
    <t xml:space="preserve">Constat écrit de l'état du code</t>
  </si>
  <si>
    <t xml:space="preserve">Claude</t>
  </si>
  <si>
    <t xml:space="preserve">Non lus à ce jour · 15 oct. : vcf_parser.py (liste de rsID, sans allèles étoiles), predict_phenotype.py (ancien DL v5) et generate_report.py (rapport PDF reportlab) survolés ; predict_v4.py, app_v4.py et train_fp.py non lus</t>
  </si>
  <si>
    <t xml:space="preserve">T05</t>
  </si>
  <si>
    <t xml:space="preserve">P1 Lecteur VCF</t>
  </si>
  <si>
    <t xml:space="preserve">Tester PyPGx sur patient_multi_gene.vcf, patient_sans_mutation.vcf, patient_dpyd.vcf et pharmacat.example2.vcf</t>
  </si>
  <si>
    <t xml:space="preserve">Tableau valeur par gène pour chaque VCF</t>
  </si>
  <si>
    <t xml:space="preserve">À confirmer</t>
  </si>
  <si>
    <t xml:space="preserve">Peut devoir se faire chez Mouna si l'espace de Claude ne permet pas de lancer l'outil · 12 oct. : PyPGx 0.27.0 (GRCh38) testé sur 4 VCF + 2 VCF diagnostiques ; rapport P1_resultats_lecteur_VCF_12oct2026.md</t>
  </si>
  <si>
    <t xml:space="preserve">T06</t>
  </si>
  <si>
    <t xml:space="preserve">Comparer le résultat à PharmCAT sur les mêmes VCF</t>
  </si>
  <si>
    <t xml:space="preserve">Tableau de concordance PyPGx / PharmCAT</t>
  </si>
  <si>
    <t xml:space="preserve">Nécessite Java et l'accès à l'outil · 12 oct. : PharmCAT 3.0.0 ; concordance 8 gènes sur 8 sur un VCF réel ; CYP2D6 « Unknown » chez PharmCAT depuis un VCF de SNP</t>
  </si>
  <si>
    <t xml:space="preserve">T07</t>
  </si>
  <si>
    <t xml:space="preserve">Écrire vcf_to_profile.py : gène absent = référence (1,0), mais « non déterminé » pour CYP2D6, HLA-B et pour un VCF trop pauvre</t>
  </si>
  <si>
    <t xml:space="preserve">vcf_to_profile.py + tests sur les 4 VCF</t>
  </si>
  <si>
    <t xml:space="preserve">Convention à confirmer sur l'outil retenu · 15 oct. : convention retenue par défaut = « non déterminé » si le gène n'est pas couvert ; vcf_to_profile.py pas encore écrit</t>
  </si>
  <si>
    <t xml:space="preserve">T08</t>
  </si>
  <si>
    <t xml:space="preserve">P2 Spécialités</t>
  </si>
  <si>
    <t xml:space="preserve">Table spécialité ↔ classe ATC (OMS)</t>
  </si>
  <si>
    <t xml:space="preserve">Table à valider par Mouna</t>
  </si>
  <si>
    <t xml:space="preserve">Source : WHO ATC/DDD index · 13 oct. : tables livrées en brouillon (atc_mapping_medicaments_v1.csv, specialite_atc_v1.csv) ; validation de Mouna en attente (22 correspondances, 28 noms, 17 spécialités)</t>
  </si>
  <si>
    <t xml:space="preserve">T09</t>
  </si>
  <si>
    <t xml:space="preserve">Table des alternatives (regles_alternatives_v2.csv), dérivée du texte des guidelines</t>
  </si>
  <si>
    <t xml:space="preserve">regles_alternatives_v2.csv à valider</t>
  </si>
  <si>
    <t xml:space="preserve">Sert à étiqueter STANDARD les alternatives nommées par les guidelines · 13 oct. : alternatives_atc4_v1.csv livré en brouillon, fondé sur les classes ATC (pas sur le texte des guidelines) ; équivalence clinique non affirmée ; validation en attente</t>
  </si>
  <si>
    <t xml:space="preserve">T10</t>
  </si>
  <si>
    <t xml:space="preserve">P3 Étiquettes v3</t>
  </si>
  <si>
    <t xml:space="preserve">Corpus v3 : nouvelle colonne action (règles v2), STANDARD tiré des règles de phénotype normal, règles ambiguës exclues</t>
  </si>
  <si>
    <t xml:space="preserve">Corpus v3 (nouveau fichier, rien d'écrasé)</t>
  </si>
  <si>
    <t xml:space="preserve">Oui</t>
  </si>
  <si>
    <t xml:space="preserve">Seule la colonne action est reconstruite · Corpus v3 croisé : 76 028 lignes, 1 379 profils réels, 76 médicaments (SHA256 d1cc932e…)</t>
  </si>
  <si>
    <t xml:space="preserve">T11</t>
  </si>
  <si>
    <t xml:space="preserve">Tests de référence : codéine, clopidogrel, oméprazole</t>
  </si>
  <si>
    <t xml:space="preserve">Rapport de tests</t>
  </si>
  <si>
    <t xml:space="preserve">corpus_v3_tests_reference.csv ; tests_reference_corpus_v3.py</t>
  </si>
  <si>
    <t xml:space="preserve">T12</t>
  </si>
  <si>
    <t xml:space="preserve">Rapport de couverture (gènes sans règle, médicaments sans empreinte : 93 sur 530)</t>
  </si>
  <si>
    <t xml:space="preserve">Rapport de couverture</t>
  </si>
  <si>
    <t xml:space="preserve">corpus_v3_couverture_par_medicament.csv et _par_origine.csv</t>
  </si>
  <si>
    <t xml:space="preserve">T13</t>
  </si>
  <si>
    <t xml:space="preserve">P4 Entraînement</t>
  </si>
  <si>
    <t xml:space="preserve">Baseline règles seules</t>
  </si>
  <si>
    <t xml:space="preserve">Scores de référence</t>
  </si>
  <si>
    <t xml:space="preserve">Un seul entraînement à la fois · 15 oct. : classe majoritaire 0,2199 ; médicament seul 0,6563 ; table de règles 0,9999 (baselines_v6.py)</t>
  </si>
  <si>
    <t xml:space="preserve">T14</t>
  </si>
  <si>
    <t xml:space="preserve">XGBoost, StratifiedGroupKFold par individu</t>
  </si>
  <si>
    <t xml:space="preserve">Scores JSON + modèle</t>
  </si>
  <si>
    <t xml:space="preserve">Variables brutes, sans scaler · 15 oct. : protocole v7 (plis groupés par famille). CV : F1 0,9999 (empreinte et identifiant). Ensemble final : 0,9996 (IC95 0,9987–1,0)</t>
  </si>
  <si>
    <t xml:space="preserve">T15</t>
  </si>
  <si>
    <t xml:space="preserve">Random Forest, même protocole (temps limité)</t>
  </si>
  <si>
    <t xml:space="preserve">Scores + modèle (hors GitHub si &gt; 100 Mo)</t>
  </si>
  <si>
    <t xml:space="preserve">Si non terminé : écrit « non réalisé », jamais retiré en silence · 15 oct. : CV F1 0,9949 (empreinte) / 0,9976 (identifiant). Ensemble final : 0,9968, CER 0,87 %</t>
  </si>
  <si>
    <t xml:space="preserve">T16</t>
  </si>
  <si>
    <t xml:space="preserve">Deep Learning, même protocole (scaler sur les 518 colonnes du médicament)</t>
  </si>
  <si>
    <t xml:space="preserve">Scores + modèle</t>
  </si>
  <si>
    <t xml:space="preserve">Ne jamais écraser un modèle existant · 15 oct. : CV base 0,9349 ; id 0,9506 ; film 0,9949 ; film_id 0,9996 (ajoutée après coup, déclarée). Ensemble final film_id : 0,9993 (IC95 0,9985–0,9999), aucun EVITER manqué sur 572</t>
  </si>
  <si>
    <t xml:space="preserve">T17</t>
  </si>
  <si>
    <t xml:space="preserve">RQ4 (empreintes), refaite sur étiquettes v3</t>
  </si>
  <si>
    <t xml:space="preserve">Tableau RQ4</t>
  </si>
  <si>
    <t xml:space="preserve">Les résultats actuels reposent sur d'anciennes étiquettes défectueuses · 15 oct. : mesures faites sur v3 : identifiant ≥ empreinte (base 0,9506 vs 0,9349 ; film 0,9996 vs 0,9949 ; RF 0,9976 vs 0,9949 ; XGBoost égal). Question reformulée (profil + identifiant) ; tableau rédigé à produire</t>
  </si>
  <si>
    <t xml:space="preserve">T18</t>
  </si>
  <si>
    <t xml:space="preserve">RQ1 (mono-gène contre multi-gènes)</t>
  </si>
  <si>
    <t xml:space="preserve">Tableau RQ1</t>
  </si>
  <si>
    <t xml:space="preserve">DL uniquement</t>
  </si>
  <si>
    <t xml:space="preserve">T19</t>
  </si>
  <si>
    <t xml:space="preserve">RQ3 (ablation de l'attention)</t>
  </si>
  <si>
    <t xml:space="preserve">Tableau RQ3</t>
  </si>
  <si>
    <t xml:space="preserve">T20</t>
  </si>
  <si>
    <t xml:space="preserve">20 oct.–9 nov.</t>
  </si>
  <si>
    <t xml:space="preserve">P7 Rédaction</t>
  </si>
  <si>
    <t xml:space="preserve">Chapitre 5 (résultats), rédigé au fil des résultats</t>
  </si>
  <si>
    <t xml:space="preserve">Chapitre 5</t>
  </si>
  <si>
    <t xml:space="preserve">S'étale de la semaine 2 à la semaine 4</t>
  </si>
  <si>
    <t xml:space="preserve">T21</t>
  </si>
  <si>
    <t xml:space="preserve">Calibrage (ECE, mise à l'échelle de température)</t>
  </si>
  <si>
    <t xml:space="preserve">Courbes et ECE</t>
  </si>
  <si>
    <t xml:space="preserve">15 oct. : ECE mesurée (final : DL 0,0099 ; XGBoost 0,0019 ; RF 0,0180) ; mise à l'échelle de température non faite</t>
  </si>
  <si>
    <t xml:space="preserve">T22</t>
  </si>
  <si>
    <t xml:space="preserve">P5 Application</t>
  </si>
  <si>
    <t xml:space="preserve">RQ5 : médicaments non vus (DL contre XGBoost ; RF si le temps le permet)</t>
  </si>
  <si>
    <t xml:space="preserve">Tableau RQ5</t>
  </si>
  <si>
    <t xml:space="preserve">Expérience décisive contre l'objection de circularité · 15 oct. : résultat négatif rapporté tel quel : médicaments inconnus F1 0,48–0,59 ; 53–63 % des EVITER manqués ; repère « voisin » 0,243</t>
  </si>
  <si>
    <t xml:space="preserve">T23</t>
  </si>
  <si>
    <t xml:space="preserve">RQ6 : concordance attention / guidelines</t>
  </si>
  <si>
    <t xml:space="preserve">Tableau RQ6</t>
  </si>
  <si>
    <t xml:space="preserve">15 oct. : attention de film : gène de plus forte attention = gène de la règle pour 44 médicaments sur 44 (32 % de l'attention contre 9,8 % au hasard)</t>
  </si>
  <si>
    <t xml:space="preserve">T24</t>
  </si>
  <si>
    <t xml:space="preserve">Couche de recommandation : 1 à 4 médicaments classés + liste courte à éviter</t>
  </si>
  <si>
    <t xml:space="preserve">predict_v5.py (nouveau fichier)</t>
  </si>
  <si>
    <t xml:space="preserve">L'ordre = confiance du modèle, non validé cliniquement · 15 oct. : limité aux 76 médicaments à règles (voir D17) ; moteur DL film_id + second avis XGBoost (D18)</t>
  </si>
  <si>
    <t xml:space="preserve">T25</t>
  </si>
  <si>
    <t xml:space="preserve">Application : spécialité, profil combiné, explication, bloc patient, recherche par médicament, barre de progression</t>
  </si>
  <si>
    <t xml:space="preserve">app_v5.py + templates</t>
  </si>
  <si>
    <t xml:space="preserve">Prédiction sans guideline signalée ; médicament sans empreinte non prédit · 15 oct. : « prédiction sans guideline » remplacée par « pas de recommandation disponible » (D17, RQ5)</t>
  </si>
  <si>
    <t xml:space="preserve">T26</t>
  </si>
  <si>
    <t xml:space="preserve">Recherche par nom commercial</t>
  </si>
  <si>
    <t xml:space="preserve">Table noms commerciaux</t>
  </si>
  <si>
    <t xml:space="preserve">1</t>
  </si>
  <si>
    <t xml:space="preserve">Premier élément coupé en cas de retard</t>
  </si>
  <si>
    <t xml:space="preserve">T27</t>
  </si>
  <si>
    <t xml:space="preserve">Fonction « comparer avec la prédiction initiale »</t>
  </si>
  <si>
    <t xml:space="preserve">À définir</t>
  </si>
  <si>
    <t xml:space="preserve">2</t>
  </si>
  <si>
    <t xml:space="preserve">Sens non défini à ce jour</t>
  </si>
  <si>
    <t xml:space="preserve">T28</t>
  </si>
  <si>
    <t xml:space="preserve">Rapport PDF (finition)</t>
  </si>
  <si>
    <t xml:space="preserve">Rapport PDF</t>
  </si>
  <si>
    <t xml:space="preserve">3</t>
  </si>
  <si>
    <t xml:space="preserve">Une version minimale reste dans le périmètre</t>
  </si>
  <si>
    <t xml:space="preserve">T29</t>
  </si>
  <si>
    <t xml:space="preserve">Chapitre 4 (conception et implémentation)</t>
  </si>
  <si>
    <t xml:space="preserve">Chapitre 4</t>
  </si>
  <si>
    <t xml:space="preserve">Contenu technique fourni par Claude ; reformulation par Mouna</t>
  </si>
  <si>
    <t xml:space="preserve">T30</t>
  </si>
  <si>
    <t xml:space="preserve">P6 Validation</t>
  </si>
  <si>
    <t xml:space="preserve">Tests de bout en bout sur les VCF de test</t>
  </si>
  <si>
    <t xml:space="preserve">T31</t>
  </si>
  <si>
    <t xml:space="preserve">Validation GeT-RM sur un sous-ensemble</t>
  </si>
  <si>
    <t xml:space="preserve">Rapport de concordance</t>
  </si>
  <si>
    <t xml:space="preserve">4</t>
  </si>
  <si>
    <t xml:space="preserve">Peut être réduite à quelques échantillons</t>
  </si>
  <si>
    <t xml:space="preserve">T32</t>
  </si>
  <si>
    <t xml:space="preserve">Chapitres 6 à 8</t>
  </si>
  <si>
    <t xml:space="preserve">T33</t>
  </si>
  <si>
    <t xml:space="preserve">Sauvegarde des 4 supports : WSL → Windows → GitHub → Drive</t>
  </si>
  <si>
    <t xml:space="preserve">Dépôt à jour sur les 4 supports</t>
  </si>
  <si>
    <t xml:space="preserve">Cocher les colonnes de chaque tâche au fur et à mesure</t>
  </si>
  <si>
    <t xml:space="preserve">T34</t>
  </si>
  <si>
    <t xml:space="preserve">Aligner le §1.1 du chapitre 1 avec l'écran de l'application (1 à 4 médicaments, spécialité)</t>
  </si>
  <si>
    <t xml:space="preserve">§1.1 corrigé ou écart expliqué</t>
  </si>
  <si>
    <t xml:space="preserve">Partie validée : modification seulement avec accord de Mouna</t>
  </si>
  <si>
    <t xml:space="preserve">T35</t>
  </si>
  <si>
    <t xml:space="preserve">Relecture et mise en forme du mémoire</t>
  </si>
  <si>
    <t xml:space="preserve">Mémoire final</t>
  </si>
  <si>
    <t xml:space="preserve">T36</t>
  </si>
  <si>
    <t xml:space="preserve">Dépôt du mémoire</t>
  </si>
  <si>
    <t xml:space="preserve">Dépôt</t>
  </si>
  <si>
    <t xml:space="preserve">Date supposée : voir Résumé</t>
  </si>
  <si>
    <t xml:space="preserve">T37</t>
  </si>
  <si>
    <t xml:space="preserve">Protocole commun v7 : ensemble final de 138 familles + 5 plis groupés par famille</t>
  </si>
  <si>
    <t xml:space="preserve">protocole_commun.py + decoupage_v7.csv</t>
  </si>
  <si>
    <t xml:space="preserve">Garde-fous de non-fuite dans le code ; 12 gènes en entrée (colonnes non constantes)</t>
  </si>
  <si>
    <t xml:space="preserve">T38</t>
  </si>
  <si>
    <t xml:space="preserve">Analyse des erreurs du DL v6 (essai exploratoire)</t>
  </si>
  <si>
    <t xml:space="preserve">analyse_erreurs_dl_v6.py + sortie texte</t>
  </si>
  <si>
    <t xml:space="preserve">A conduit à la variante film</t>
  </si>
  <si>
    <t xml:space="preserve">T39</t>
  </si>
  <si>
    <t xml:space="preserve">Évaluation finale unique (DL film_id, XGBoost id, RF id) sur les 138 familles</t>
  </si>
  <si>
    <t xml:space="preserve">modele_final_v7.py + resultats_final_v7/ (+ modèles pour l'application)</t>
  </si>
  <si>
    <t xml:space="preserve">15 oct. : F1 0,9993 / 0,9996 / 0,9968 ; verrou anti-réévaluation. SAUVEGARDE À FAIRE (Windows, GitHub, Drive)</t>
  </si>
  <si>
    <t xml:space="preserve">T40</t>
  </si>
  <si>
    <t xml:space="preserve">Contrôle de l'origine des valeurs constantes à 1,0 (phenotype_drug_dataset_complet_v2.csv)</t>
  </si>
  <si>
    <t xml:space="preserve">Constat écrit (conversation)</t>
  </si>
  <si>
    <t xml:space="preserve">15 oct. : 1,0 = valeur par défaut dans les scripts ; fichier sans identifiant patient ; « normal » ou « non renseigné » non décidable</t>
  </si>
  <si>
    <t xml:space="preserve">T41</t>
  </si>
  <si>
    <t xml:space="preserve">Chapitres 1, 2 et 3 mis à jour (v2, v2, v3)</t>
  </si>
  <si>
    <t xml:space="preserve">Chapitre_1_…FINAL_v2.docx, Chapitre_2_…FINAL_v2.docx, Chapitre_3_…FINAL_v3.docx</t>
  </si>
  <si>
    <t xml:space="preserve">15 oct. : fichiers validés et rendus ; RQ4 reformulée à confirmer par Mouna</t>
  </si>
  <si>
    <t xml:space="preserve">T42</t>
  </si>
  <si>
    <t xml:space="preserve">Chapitre 3 v4 : constantes à 1,0, résultats finaux, RQ5, film_id, ajouts après coup</t>
  </si>
  <si>
    <t xml:space="preserve">Chapitre_3_…FINAL_v4.docx</t>
  </si>
  <si>
    <t xml:space="preserve">Une seule nouvelle version, sans renvois multiples</t>
  </si>
  <si>
    <t xml:space="preserve">T43</t>
  </si>
  <si>
    <t xml:space="preserve">Discuter avec Pr. Ghedira la formulation de la contribution du DL (≈ XGBoost ; échec RQ5)</t>
  </si>
  <si>
    <t xml:space="preserve">Formulation validée</t>
  </si>
  <si>
    <t xml:space="preserve">À faire avant la rédaction du chapitre 5</t>
  </si>
  <si>
    <t xml:space="preserve">Décision</t>
  </si>
  <si>
    <t xml:space="preserve">Remarque</t>
  </si>
  <si>
    <t xml:space="preserve">D01</t>
  </si>
  <si>
    <t xml:space="preserve">Plan définitif en phases P0 à P7 (calendrier du 13 oct. au 12 nov.)</t>
  </si>
  <si>
    <t xml:space="preserve">À valider</t>
  </si>
  <si>
    <t xml:space="preserve">GO attendu de Mouna</t>
  </si>
  <si>
    <t xml:space="preserve">D02</t>
  </si>
  <si>
    <t xml:space="preserve">Lecteur de VCF : PyPGx, comparé à PharmCAT</t>
  </si>
  <si>
    <t xml:space="preserve">Même lecteur pour l'entraînement et pour l'application · Testé le 12 oct. : 8 gènes sur 8 concordants avec PharmCAT sur un VCF réel (GRCh38) ; CYP2D6 non appelable depuis un VCF de SNP</t>
  </si>
  <si>
    <t xml:space="preserve">D03</t>
  </si>
  <si>
    <t xml:space="preserve">Écran : 1 à 4 médicaments classés du meilleur au moins bon, profil combiné de tous les gènes</t>
  </si>
  <si>
    <t xml:space="preserve">Jamais dix médicaments ou plus</t>
  </si>
  <si>
    <t xml:space="preserve">D04</t>
  </si>
  <si>
    <t xml:space="preserve">Random Forest dans la comparaison des trois modèles</t>
  </si>
  <si>
    <t xml:space="preserve">Actée</t>
  </si>
  <si>
    <t xml:space="preserve">Jamais retiré en silence · Réalisé : RF évalué en CV et sur l'ensemble final</t>
  </si>
  <si>
    <t xml:space="preserve">D05</t>
  </si>
  <si>
    <t xml:space="preserve">« Prédiction initiale » placée en fin de liste de coupes</t>
  </si>
  <si>
    <t xml:space="preserve">Sens de la fonction non défini</t>
  </si>
  <si>
    <t xml:space="preserve">D06</t>
  </si>
  <si>
    <t xml:space="preserve">Application autonome pilotée par le Deep Learning</t>
  </si>
  <si>
    <t xml:space="preserve">Les guidelines servent aux étiquettes, à l'évaluation et aux références · 15 oct. : DL film_id ≈ XGBoost (final 0,9993 vs 0,9996) ; voir D18</t>
  </si>
  <si>
    <t xml:space="preserve">D07</t>
  </si>
  <si>
    <t xml:space="preserve">Spécialité du médecin en entrée avec le VCF</t>
  </si>
  <si>
    <t xml:space="preserve">Évite de balayer tous les médicaments</t>
  </si>
  <si>
    <t xml:space="preserve">D08</t>
  </si>
  <si>
    <t xml:space="preserve">Bloc patient en langage clair, sans dose</t>
  </si>
  <si>
    <t xml:space="preserve">Même résultat, expliqué simplement</t>
  </si>
  <si>
    <t xml:space="preserve">D09</t>
  </si>
  <si>
    <t xml:space="preserve">Garder la formulation prudente du chapitre 1</t>
  </si>
  <si>
    <t xml:space="preserve">Pas de revendication « mieux que CPIC »</t>
  </si>
  <si>
    <t xml:space="preserve">D10</t>
  </si>
  <si>
    <t xml:space="preserve">Gènes non lisibles (CYP2D6, HLA-B) : « non déterminés », indicateur en entrée du modèle</t>
  </si>
  <si>
    <t xml:space="preserve">Fixé par défaut</t>
  </si>
  <si>
    <t xml:space="preserve">Remplace le remplissage à 1,0</t>
  </si>
  <si>
    <t xml:space="preserve">D11</t>
  </si>
  <si>
    <t xml:space="preserve">Prédiction sans guideline : affichée comme « prédiction du modèle, pas de guideline »</t>
  </si>
  <si>
    <t xml:space="preserve">Révisée</t>
  </si>
  <si>
    <t xml:space="preserve">Corrigeable · Remplacée par D17 : RQ5 montre 53–63 % d'EVITER manqués sur des médicaments inconnus</t>
  </si>
  <si>
    <t xml:space="preserve">D12</t>
  </si>
  <si>
    <t xml:space="preserve">Médicament sans empreinte moléculaire (93 sur 530) : pas de prédiction</t>
  </si>
  <si>
    <t xml:space="preserve">Corrigeable · Inclus dans D17</t>
  </si>
  <si>
    <t xml:space="preserve">D13</t>
  </si>
  <si>
    <t xml:space="preserve">Protocole commun v7 : ensemble final de 138 familles, 5 plis groupés par famille, 12 gènes en entrée</t>
  </si>
  <si>
    <t xml:space="preserve">Validé par Mouna (« ok »)</t>
  </si>
  <si>
    <t xml:space="preserve">D14</t>
  </si>
  <si>
    <t xml:space="preserve">RQ4 reformulée : comparer l'empreinte à un identifiant du médicament (un profil seul ne distingue pas les médicaments)</t>
  </si>
  <si>
    <t xml:space="preserve">À confirmer par Mouna</t>
  </si>
  <si>
    <t xml:space="preserve">D15</t>
  </si>
  <si>
    <t xml:space="preserve">Variante film_id ajoutée après avoir vu les résultats de base, film et id ; déclarée comme telle</t>
  </si>
  <si>
    <t xml:space="preserve">À déclarer dans le mémoire</t>
  </si>
  <si>
    <t xml:space="preserve">D16</t>
  </si>
  <si>
    <t xml:space="preserve">XGBoost et Random Forest sans réglage des hyperparamètres (comme le DL)</t>
  </si>
  <si>
    <t xml:space="preserve">Comparaison équitable ; réglages fixés avant les résultats</t>
  </si>
  <si>
    <t xml:space="preserve">D17</t>
  </si>
  <si>
    <t xml:space="preserve">Application limitée aux 76 médicaments à règles CPIC/DPWG ; sinon « pas de recommandation pharmacogénétique disponible »</t>
  </si>
  <si>
    <t xml:space="preserve">Fondé sur RQ5 ; remplace D11</t>
  </si>
  <si>
    <t xml:space="preserve">D18</t>
  </si>
  <si>
    <t xml:space="preserve">Moteur de l'application : DL film_id ; second avis : XGBoost</t>
  </si>
  <si>
    <t xml:space="preserve">Choix lié au sujet de la thèse ; à valider avec Pr. Ghedira</t>
  </si>
  <si>
    <t xml:space="preserve">D19</t>
  </si>
  <si>
    <t xml:space="preserve">Ensemble final évalué une seule fois par modèle (verrou) ; ses chiffres sont les chiffres officiels</t>
  </si>
  <si>
    <t xml:space="preserve">Réalisé le 15 oct.</t>
  </si>
  <si>
    <t xml:space="preserve">Type</t>
  </si>
  <si>
    <t xml:space="preserve">Élément</t>
  </si>
  <si>
    <t xml:space="preserve">Détail</t>
  </si>
  <si>
    <t xml:space="preserve">Coupe n°1</t>
  </si>
  <si>
    <t xml:space="preserve">Noms commerciaux dans la recherche</t>
  </si>
  <si>
    <t xml:space="preserve">Premier élément abandonné en cas de retard</t>
  </si>
  <si>
    <t xml:space="preserve">Coupe n°2</t>
  </si>
  <si>
    <t xml:space="preserve">Fonction « prédiction initiale »</t>
  </si>
  <si>
    <t xml:space="preserve">Sens non défini</t>
  </si>
  <si>
    <t xml:space="preserve">Coupe n°3</t>
  </si>
  <si>
    <t xml:space="preserve">Finition du PDF</t>
  </si>
  <si>
    <t xml:space="preserve">Coupe n°4</t>
  </si>
  <si>
    <t xml:space="preserve">Validation GeT-RM réduite à quelques échantillons</t>
  </si>
  <si>
    <t xml:space="preserve">Jamais coupé</t>
  </si>
  <si>
    <t xml:space="preserve">Étiquettes v3</t>
  </si>
  <si>
    <t xml:space="preserve">Comparaison des trois modèles</t>
  </si>
  <si>
    <t xml:space="preserve">Si Random Forest n'est pas terminé : écrit « non réalisé »</t>
  </si>
  <si>
    <t xml:space="preserve">RQ5 (médicaments non vus)</t>
  </si>
  <si>
    <t xml:space="preserve">Expérience décisive · Réalisée le 15 oct. : résultat négatif rapporté</t>
  </si>
  <si>
    <t xml:space="preserve">Recommandation par spécialité</t>
  </si>
  <si>
    <t xml:space="preserve">Chapitres du mémoire</t>
  </si>
  <si>
    <t xml:space="preserve">Limite</t>
  </si>
  <si>
    <t xml:space="preserve">Le Deep Learning peut ne pas battre XGBoost</t>
  </si>
  <si>
    <t xml:space="preserve">Constaté le 15 oct. : DL film_id 0,9993 contre XGBoost 0,9996 sur l'ensemble final (IC95 qui se recouvrent) ; rapporté tel quel</t>
  </si>
  <si>
    <t xml:space="preserve">Exécution sur le WSL de Mouna</t>
  </si>
  <si>
    <t xml:space="preserve">Claude livre des scripts, Mouna confirme chaque commande</t>
  </si>
  <si>
    <t xml:space="preserve">Lecteur de VCF</t>
  </si>
  <si>
    <t xml:space="preserve">Peut ne pas tourner dans l'espace de Claude ; test alors chez Mouna</t>
  </si>
  <si>
    <t xml:space="preserve">Étiquettes dérivées de règles</t>
  </si>
  <si>
    <t xml:space="preserve">Les métriques classiques mesurent la fidélité aux règles ; l'apport du DL se juge sur RQ5, RQ1, RQ3, RQ6</t>
  </si>
  <si>
    <t xml:space="preserve">Généralisation à des médicaments inconnus</t>
  </si>
  <si>
    <t xml:space="preserve">RQ5 : F1 0,48–0,59 et 53–63 % d'EVITER manqués ; l'application ne recommande que les 76 médicaments à règles</t>
  </si>
  <si>
    <t xml:space="preserve">Contribution du DL</t>
  </si>
  <si>
    <t xml:space="preserve">Au niveau des règles et des arbres sur les médicaments connus ; formulation à discuter avec Pr. Ghedira</t>
  </si>
  <si>
    <t xml:space="preserve">CYP2D6 depuis un VCF</t>
  </si>
  <si>
    <t xml:space="preserve">PharmCAT « Unknown » depuis un VCF de SNP ; « non déterminé » tant qu'un appel fiable n'est pas établi</t>
  </si>
  <si>
    <t xml:space="preserve">Ensemble final</t>
  </si>
  <si>
    <t xml:space="preserve">Évalué une seule fois par modèle (verrou) ; aucun réglage possible après coup</t>
  </si>
  <si>
    <t xml:space="preserve">Ancien fichier phenotype_drug_dataset_complet_v2.csv</t>
  </si>
  <si>
    <t xml:space="preserve">1,0 est la valeur par défaut dans les scripts ; l'absence de variation et l'absence de donnée ne sont pas distinguables</t>
  </si>
  <si>
    <t xml:space="preserve">Ce qu'il faut de Mouna</t>
  </si>
  <si>
    <t xml:space="preserve">B01</t>
  </si>
  <si>
    <t xml:space="preserve">B02</t>
  </si>
  <si>
    <t xml:space="preserve">Joindre FINAL.csv, drug_fingerprints_v2.pkl et drug_smiles.csv dans la conversation</t>
  </si>
  <si>
    <t xml:space="preserve">Sinon Claude teste le téléchargement depuis le Drive · Fichiers reçus le 13–15 oct. (drug_smiles.csv non rouvert)</t>
  </si>
  <si>
    <t xml:space="preserve">B03</t>
  </si>
  <si>
    <t xml:space="preserve">Verdicts dans controle_regles_v2.csv</t>
  </si>
  <si>
    <t xml:space="preserve">Par défaut, lignes sans verdict exclues de l'entraînement</t>
  </si>
  <si>
    <t xml:space="preserve">B04</t>
  </si>
  <si>
    <t xml:space="preserve">Confirmer la date exacte de dépôt</t>
  </si>
  <si>
    <t xml:space="preserve">Hypothèse actuelle : 12 nov. 2026</t>
  </si>
  <si>
    <t xml:space="preserve">B05</t>
  </si>
  <si>
    <t xml:space="preserve">Définir le sens de « comparer avec la prédiction initiale »</t>
  </si>
  <si>
    <t xml:space="preserve">Reste en fin de liste de coupes</t>
  </si>
  <si>
    <t xml:space="preserve">B06</t>
  </si>
  <si>
    <t xml:space="preserve">Sauvegarder les résultats finaux : resultats_final_v7/*, resultats_final_v7.log, modele_final_v7.py (sauvegarde.sh puis Drive : Results et scripts)</t>
  </si>
  <si>
    <t xml:space="preserve">Glisser aussi les 6 fichiers RQ5 dans Drive</t>
  </si>
  <si>
    <t xml:space="preserve">B07</t>
  </si>
  <si>
    <t xml:space="preserve">Valider ou changer les décisions fixées par défaut D14 à D18</t>
  </si>
  <si>
    <t xml:space="preserve">RQ4 reformulée, film_id, arbres sans réglage, 76 médicaments, moteur DL + XGBoost</t>
  </si>
  <si>
    <t xml:space="preserve">B08</t>
  </si>
  <si>
    <t xml:space="preserve">Discuter avec Pr. Ghedira la formulation de la contribution du DL</t>
  </si>
  <si>
    <t xml:space="preserve">DL ≈ XGBoost sur médicaments connus ; échec RQ5</t>
  </si>
  <si>
    <t xml:space="preserve">B09</t>
  </si>
  <si>
    <t xml:space="preserve">Valider les tables ATC, spécialités et alternatives (P2)</t>
  </si>
  <si>
    <t xml:space="preserve">22 correspondances, 28 noms, 17 spécialités</t>
  </si>
  <si>
    <t xml:space="preserve">B10</t>
  </si>
  <si>
    <t xml:space="preserve">Confirmer les 14 règles conditionnelles acceptées</t>
  </si>
  <si>
    <t xml:space="preserve">Cités au chapitre 3</t>
  </si>
  <si>
    <t xml:space="preserve">B11</t>
  </si>
  <si>
    <t xml:space="preserve">Nettoyer Drive Docs : doublons « (1) », corpus_v3_tests_reference.csv mal placé, ajouter Corpus_v3_rapport_13oct2026_v2.md</t>
  </si>
  <si>
    <t xml:space="preserve">Rubrique</t>
  </si>
  <si>
    <t xml:space="preserve">Entrée</t>
  </si>
  <si>
    <t xml:space="preserve">Décisions validées</t>
  </si>
  <si>
    <t xml:space="preserve">Application autonome pilotée par le DL ; spécialité en entrée ; bloc patient ; formulation prudente du chapitre 1 ; protocole v7 (ensemble final de 138 familles, 5 plis groupés par famille, 12 gènes) ; évaluation finale unique par modèle ; film_id ajouté après coup et déclaré</t>
  </si>
  <si>
    <t xml:space="preserve">Décisions à valider</t>
  </si>
  <si>
    <t xml:space="preserve">RQ4 reformulée (empreinte contre identifiant) ; arbres sans réglage ; application limitée aux 76 médicaments à règles ; moteur DL film_id + second avis XGBoost ; formulation de la contribution du DL (avec Pr. Ghedira) ; convention « gène absent »</t>
  </si>
  <si>
    <t xml:space="preserve">Erreur à ne plus reproduire</t>
  </si>
  <si>
    <t xml:space="preserve">Redemander des points déjà tranchés</t>
  </si>
  <si>
    <t xml:space="preserve">Afficher un résultat par gène comme résultat principal</t>
  </si>
  <si>
    <t xml:space="preserve">Remplir un gène absent à 1,0 sans distinguer « non lu »</t>
  </si>
  <si>
    <t xml:space="preserve">Dire « terminé » sans distinguer vérifié et non vérifié</t>
  </si>
  <si>
    <t xml:space="preserve">Comparer l'exactitude seule (la classe majoritaire fait 0,74 sur médicaments inconnus)</t>
  </si>
  <si>
    <t xml:space="preserve">Deviner un nom de colonne ou un chemin sans vérifier</t>
  </si>
  <si>
    <t xml:space="preserve">Réévaluer l'ensemble final ou comparer des chiffres issus de protocoles différents</t>
  </si>
  <si>
    <t xml:space="preserve">Reste à faire</t>
  </si>
  <si>
    <t xml:space="preserve">Voir l'onglet Plan (T04, T07 à T09, T17 à T21, T24 à T36, T42, T43) et l'onglet Besoins. Priorité : sauvegarde des résultats finaux, vcf_to_profile.py, couche de recommandation, application, chapitre 3 v4, chapitres 4 à 8</t>
  </si>
  <si>
    <t xml:space="preserve">Sauvegarde</t>
  </si>
  <si>
    <t xml:space="preserve">Plan_PharmaGeno_15oct2026.xlsx remplace le plan du 12 oct. (ancien fichier conservé). Ordre : WSL → Windows → GitHub → Drive. « À confirmer » = sauvegarde non vue dans cette session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</si>
</sst>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sbslee/pypgx" TargetMode="External"/><Relationship Id="rId2" Type="http://schemas.openxmlformats.org/officeDocument/2006/relationships/hyperlink" Target="https://pharmcat.clinpgx.org/" TargetMode="External"/><Relationship Id="rId3" Type="http://schemas.openxmlformats.org/officeDocument/2006/relationships/hyperlink" Target="https://cpicpgx.org/guidelines/" TargetMode="External"/><Relationship Id="rId4" Type="http://schemas.openxmlformats.org/officeDocument/2006/relationships/hyperlink" Target="https://www.whocc.no/atc_ddd_index/" TargetMode="External"/><Relationship Id="rId5" Type="http://schemas.openxmlformats.org/officeDocument/2006/relationships/hyperlink" Target="https://www.cdc.gov/lab-quality/php/get-rm/reference-materials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5" min="3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46338</v>
      </c>
      <c r="C4" s="3" t="s">
        <v>3</v>
      </c>
      <c r="D4" s="4"/>
      <c r="E4" s="4"/>
    </row>
    <row r="5" customFormat="false" ht="15" hidden="false" customHeight="true" outlineLevel="0" collapsed="false">
      <c r="A5" s="4" t="s">
        <v>4</v>
      </c>
      <c r="B5" s="6" t="n">
        <f aca="true">B4-TODAY()</f>
        <v>28</v>
      </c>
      <c r="C5" s="4"/>
      <c r="D5" s="4"/>
      <c r="E5" s="4"/>
    </row>
    <row r="6" customFormat="false" ht="15" hidden="false" customHeight="true" outlineLevel="0" collapsed="false">
      <c r="A6" s="7" t="s">
        <v>5</v>
      </c>
      <c r="B6" s="4"/>
      <c r="C6" s="4"/>
      <c r="D6" s="4"/>
      <c r="E6" s="4"/>
    </row>
    <row r="7" customFormat="false" ht="15" hidden="false" customHeight="true" outlineLevel="0" collapsed="false">
      <c r="A7" s="4" t="s">
        <v>6</v>
      </c>
      <c r="B7" s="6" t="n">
        <f aca="false">COUNTA(Plan!$A$2:$A$200)</f>
        <v>43</v>
      </c>
      <c r="C7" s="4"/>
      <c r="D7" s="4"/>
      <c r="E7" s="4"/>
    </row>
    <row r="8" customFormat="false" ht="15" hidden="false" customHeight="true" outlineLevel="0" collapsed="false">
      <c r="A8" s="4" t="s">
        <v>7</v>
      </c>
      <c r="B8" s="6" t="n">
        <f aca="false">COUNTIF(Plan!$J$2:$J$200,"Fait")</f>
        <v>17</v>
      </c>
      <c r="C8" s="4"/>
      <c r="D8" s="4"/>
      <c r="E8" s="4"/>
    </row>
    <row r="9" customFormat="false" ht="15" hidden="false" customHeight="true" outlineLevel="0" collapsed="false">
      <c r="A9" s="4" t="s">
        <v>8</v>
      </c>
      <c r="B9" s="6" t="n">
        <f aca="false">COUNTIF(Plan!$J$2:$J$200,"En cours")</f>
        <v>5</v>
      </c>
      <c r="C9" s="4"/>
      <c r="D9" s="4"/>
      <c r="E9" s="4"/>
    </row>
    <row r="10" customFormat="false" ht="15" hidden="false" customHeight="true" outlineLevel="0" collapsed="false">
      <c r="A10" s="4" t="s">
        <v>9</v>
      </c>
      <c r="B10" s="6" t="n">
        <f aca="false">COUNTIF(Plan!$J$2:$J$200,"Bloqué")</f>
        <v>0</v>
      </c>
      <c r="C10" s="4"/>
      <c r="D10" s="4"/>
      <c r="E10" s="4"/>
    </row>
    <row r="11" customFormat="false" ht="15" hidden="false" customHeight="true" outlineLevel="0" collapsed="false">
      <c r="A11" s="4" t="s">
        <v>10</v>
      </c>
      <c r="B11" s="6" t="n">
        <f aca="false">COUNTIF(Plan!$J$2:$J$200,"Coupé")</f>
        <v>0</v>
      </c>
      <c r="C11" s="4"/>
      <c r="D11" s="4"/>
      <c r="E11" s="4"/>
    </row>
    <row r="12" customFormat="false" ht="15" hidden="false" customHeight="true" outlineLevel="0" collapsed="false">
      <c r="A12" s="4" t="s">
        <v>11</v>
      </c>
      <c r="B12" s="8" t="n">
        <f aca="false">IF(B7=0,0,B8/B7)</f>
        <v>0.395348837209302</v>
      </c>
      <c r="C12" s="4"/>
      <c r="D12" s="4"/>
      <c r="E12" s="4"/>
    </row>
    <row r="13" customFormat="false" ht="15" hidden="false" customHeight="true" outlineLevel="0" collapsed="false">
      <c r="A13" s="4" t="s">
        <v>12</v>
      </c>
      <c r="B13" s="6" t="n">
        <f aca="false">COUNTIFS(Plan!$J$2:$J$200,"Fait",Plan!$K$2:$K$200,"Vérifié")</f>
        <v>17</v>
      </c>
      <c r="C13" s="4"/>
      <c r="D13" s="4"/>
      <c r="E13" s="4"/>
    </row>
    <row r="14" customFormat="false" ht="15" hidden="false" customHeight="true" outlineLevel="0" collapsed="false">
      <c r="A14" s="4" t="s">
        <v>13</v>
      </c>
      <c r="B14" s="6" t="n">
        <f aca="false">B8-B13</f>
        <v>0</v>
      </c>
      <c r="C14" s="4"/>
      <c r="D14" s="4"/>
      <c r="E14" s="4"/>
    </row>
    <row r="15" customFormat="false" ht="15" hidden="false" customHeight="true" outlineLevel="0" collapsed="false">
      <c r="A15" s="4" t="s">
        <v>14</v>
      </c>
      <c r="B15" s="6" t="n">
        <f aca="false">SUMPRODUCT((Plan!$J$2:$J$200="Fait")*(((Plan!$L$2:$L$200="Non")+(Plan!$M$2:$M$200="Non")+(Plan!$N$2:$N$200="Non")+(Plan!$O$2:$O$200="Non"))&gt;0))</f>
        <v>1</v>
      </c>
      <c r="C15" s="4"/>
      <c r="D15" s="4"/>
      <c r="E15" s="4"/>
    </row>
    <row r="16" customFormat="false" ht="15" hidden="false" customHeight="true" outlineLevel="0" collapsed="false">
      <c r="A16" s="4"/>
      <c r="B16" s="4"/>
      <c r="C16" s="4"/>
      <c r="D16" s="4"/>
      <c r="E16" s="4"/>
    </row>
    <row r="17" customFormat="false" ht="15" hidden="false" customHeight="true" outlineLevel="0" collapsed="false">
      <c r="A17" s="7" t="s">
        <v>15</v>
      </c>
      <c r="B17" s="4"/>
      <c r="C17" s="4"/>
      <c r="D17" s="4"/>
      <c r="E17" s="4"/>
    </row>
    <row r="18" customFormat="false" ht="15" hidden="false" customHeight="true" outlineLevel="0" collapsed="false">
      <c r="A18" s="9" t="s">
        <v>16</v>
      </c>
      <c r="B18" s="9" t="s">
        <v>17</v>
      </c>
      <c r="C18" s="9" t="s">
        <v>18</v>
      </c>
      <c r="D18" s="9" t="s">
        <v>7</v>
      </c>
      <c r="E18" s="9" t="s">
        <v>19</v>
      </c>
    </row>
    <row r="19" customFormat="false" ht="15" hidden="false" customHeight="true" outlineLevel="0" collapsed="false">
      <c r="A19" s="10" t="s">
        <v>20</v>
      </c>
      <c r="B19" s="10" t="s">
        <v>21</v>
      </c>
      <c r="C19" s="10" t="n">
        <f aca="false">COUNTIF(Plan!$B$2:$B$200,A19)</f>
        <v>19</v>
      </c>
      <c r="D19" s="10" t="n">
        <f aca="false">COUNTIFS(Plan!$B$2:$B$200,A19,Plan!$J$2:$J$200,"Fait")</f>
        <v>11</v>
      </c>
      <c r="E19" s="11" t="n">
        <f aca="false">IF(C19=0,0,D19/C19)</f>
        <v>0.578947368421053</v>
      </c>
    </row>
    <row r="20" customFormat="false" ht="15" hidden="false" customHeight="true" outlineLevel="0" collapsed="false">
      <c r="A20" s="10" t="s">
        <v>22</v>
      </c>
      <c r="B20" s="10" t="s">
        <v>23</v>
      </c>
      <c r="C20" s="10" t="n">
        <f aca="false">COUNTIF(Plan!$B$2:$B$200,A20)</f>
        <v>9</v>
      </c>
      <c r="D20" s="10" t="n">
        <f aca="false">COUNTIFS(Plan!$B$2:$B$200,A20,Plan!$J$2:$J$200,"Fait")</f>
        <v>4</v>
      </c>
      <c r="E20" s="11" t="n">
        <f aca="false">IF(C20=0,0,D20/C20)</f>
        <v>0.444444444444444</v>
      </c>
    </row>
    <row r="21" customFormat="false" ht="15" hidden="false" customHeight="true" outlineLevel="0" collapsed="false">
      <c r="A21" s="10" t="s">
        <v>24</v>
      </c>
      <c r="B21" s="10" t="s">
        <v>25</v>
      </c>
      <c r="C21" s="10" t="n">
        <f aca="false">COUNTIF(Plan!$B$2:$B$200,A21)</f>
        <v>8</v>
      </c>
      <c r="D21" s="10" t="n">
        <f aca="false">COUNTIFS(Plan!$B$2:$B$200,A21,Plan!$J$2:$J$200,"Fait")</f>
        <v>2</v>
      </c>
      <c r="E21" s="11" t="n">
        <f aca="false">IF(C21=0,0,D21/C21)</f>
        <v>0.25</v>
      </c>
    </row>
    <row r="22" customFormat="false" ht="15" hidden="false" customHeight="true" outlineLevel="0" collapsed="false">
      <c r="A22" s="10" t="s">
        <v>26</v>
      </c>
      <c r="B22" s="10" t="s">
        <v>27</v>
      </c>
      <c r="C22" s="10" t="n">
        <f aca="false">COUNTIF(Plan!$B$2:$B$200,A22)</f>
        <v>4</v>
      </c>
      <c r="D22" s="10" t="n">
        <f aca="false">COUNTIFS(Plan!$B$2:$B$200,A22,Plan!$J$2:$J$200,"Fait")</f>
        <v>0</v>
      </c>
      <c r="E22" s="11" t="n">
        <f aca="false">IF(C22=0,0,D22/C22)</f>
        <v>0</v>
      </c>
    </row>
    <row r="23" customFormat="false" ht="15" hidden="false" customHeight="true" outlineLevel="0" collapsed="false">
      <c r="A23" s="10" t="s">
        <v>28</v>
      </c>
      <c r="B23" s="10" t="s">
        <v>29</v>
      </c>
      <c r="C23" s="10" t="n">
        <f aca="false">COUNTIF(Plan!$B$2:$B$200,A23)</f>
        <v>3</v>
      </c>
      <c r="D23" s="10" t="n">
        <f aca="false">COUNTIFS(Plan!$B$2:$B$200,A23,Plan!$J$2:$J$200,"Fait")</f>
        <v>0</v>
      </c>
      <c r="E23" s="11" t="n">
        <f aca="false">IF(C23=0,0,D23/C23)</f>
        <v>0</v>
      </c>
    </row>
    <row r="24" customFormat="false" ht="15" hidden="false" customHeight="true" outlineLevel="0" collapsed="false">
      <c r="A24" s="4"/>
      <c r="B24" s="4"/>
      <c r="C24" s="4"/>
      <c r="D24" s="4"/>
      <c r="E24" s="4"/>
    </row>
    <row r="25" customFormat="false" ht="15" hidden="false" customHeight="true" outlineLevel="0" collapsed="false">
      <c r="A25" s="4"/>
      <c r="B25" s="4"/>
      <c r="C25" s="4"/>
      <c r="D25" s="4"/>
      <c r="E25" s="4"/>
    </row>
    <row r="26" customFormat="false" ht="15" hidden="false" customHeight="true" outlineLevel="0" collapsed="false">
      <c r="A26" s="7" t="s">
        <v>30</v>
      </c>
      <c r="B26" s="4"/>
      <c r="C26" s="4"/>
      <c r="D26" s="4"/>
      <c r="E26" s="4"/>
    </row>
    <row r="27" customFormat="false" ht="30" hidden="false" customHeight="true" outlineLevel="0" collapsed="false">
      <c r="A27" s="12" t="s">
        <v>31</v>
      </c>
      <c r="B27" s="12"/>
      <c r="C27" s="12"/>
      <c r="D27" s="12"/>
      <c r="E27" s="12"/>
    </row>
    <row r="28" customFormat="false" ht="30" hidden="false" customHeight="true" outlineLevel="0" collapsed="false">
      <c r="A28" s="12" t="s">
        <v>32</v>
      </c>
      <c r="B28" s="12"/>
      <c r="C28" s="12"/>
      <c r="D28" s="12"/>
      <c r="E28" s="12"/>
    </row>
    <row r="29" customFormat="false" ht="30" hidden="false" customHeight="true" outlineLevel="0" collapsed="false">
      <c r="A29" s="12" t="s">
        <v>33</v>
      </c>
      <c r="B29" s="12"/>
      <c r="C29" s="12"/>
      <c r="D29" s="12"/>
      <c r="E29" s="12"/>
    </row>
    <row r="30" customFormat="false" ht="30" hidden="false" customHeight="true" outlineLevel="0" collapsed="false">
      <c r="A30" s="12" t="s">
        <v>34</v>
      </c>
      <c r="B30" s="12"/>
      <c r="C30" s="12"/>
      <c r="D30" s="12"/>
      <c r="E30" s="12"/>
    </row>
    <row r="31" customFormat="false" ht="30" hidden="false" customHeight="true" outlineLevel="0" collapsed="false">
      <c r="A31" s="12" t="s">
        <v>35</v>
      </c>
      <c r="B31" s="12"/>
      <c r="C31" s="12"/>
      <c r="D31" s="12"/>
      <c r="E31" s="12"/>
    </row>
    <row r="32" customFormat="false" ht="30" hidden="false" customHeight="true" outlineLevel="0" collapsed="false">
      <c r="A32" s="12" t="s">
        <v>36</v>
      </c>
      <c r="B32" s="12"/>
      <c r="C32" s="12"/>
      <c r="D32" s="12"/>
      <c r="E32" s="12"/>
    </row>
    <row r="33" customFormat="false" ht="15" hidden="false" customHeight="true" outlineLevel="0" collapsed="false">
      <c r="A33" s="7" t="s">
        <v>37</v>
      </c>
      <c r="B33" s="4"/>
      <c r="C33" s="4"/>
      <c r="D33" s="4"/>
      <c r="E33" s="4"/>
    </row>
    <row r="34" customFormat="false" ht="15" hidden="false" customHeight="true" outlineLevel="0" collapsed="false">
      <c r="A34" s="4" t="s">
        <v>38</v>
      </c>
      <c r="B34" s="13" t="s">
        <v>39</v>
      </c>
      <c r="C34" s="4"/>
      <c r="D34" s="4"/>
      <c r="E34" s="4"/>
    </row>
    <row r="35" customFormat="false" ht="15" hidden="false" customHeight="true" outlineLevel="0" collapsed="false">
      <c r="A35" s="4" t="s">
        <v>40</v>
      </c>
      <c r="B35" s="13" t="s">
        <v>41</v>
      </c>
      <c r="C35" s="4"/>
      <c r="D35" s="4"/>
      <c r="E35" s="4"/>
    </row>
    <row r="36" customFormat="false" ht="15" hidden="false" customHeight="true" outlineLevel="0" collapsed="false">
      <c r="A36" s="4" t="s">
        <v>42</v>
      </c>
      <c r="B36" s="13" t="s">
        <v>43</v>
      </c>
      <c r="C36" s="4"/>
      <c r="D36" s="4"/>
      <c r="E36" s="4"/>
    </row>
    <row r="37" customFormat="false" ht="15" hidden="false" customHeight="true" outlineLevel="0" collapsed="false">
      <c r="A37" s="4" t="s">
        <v>44</v>
      </c>
      <c r="B37" s="13" t="s">
        <v>45</v>
      </c>
      <c r="C37" s="4"/>
      <c r="D37" s="4"/>
      <c r="E37" s="4"/>
    </row>
    <row r="38" customFormat="false" ht="15" hidden="false" customHeight="true" outlineLevel="0" collapsed="false">
      <c r="A38" s="4" t="s">
        <v>46</v>
      </c>
      <c r="B38" s="13" t="s">
        <v>47</v>
      </c>
      <c r="C38" s="4"/>
      <c r="D38" s="4"/>
      <c r="E38" s="4"/>
    </row>
  </sheetData>
  <mergeCells count="6">
    <mergeCell ref="A27:E27"/>
    <mergeCell ref="A28:E28"/>
    <mergeCell ref="A29:E29"/>
    <mergeCell ref="A30:E30"/>
    <mergeCell ref="A31:E31"/>
    <mergeCell ref="A32:E32"/>
  </mergeCells>
  <hyperlinks>
    <hyperlink ref="B34" r:id="rId1" display="https://github.com/sbslee/pypgx"/>
    <hyperlink ref="B35" r:id="rId2" display="https://pharmcat.clinpgx.org"/>
    <hyperlink ref="B36" r:id="rId3" display="https://cpicpgx.org/guidelines/"/>
    <hyperlink ref="B37" r:id="rId4" display="https://www.whocc.no/atc_ddd_index/"/>
    <hyperlink ref="B38" r:id="rId5" display="https://www.cdc.gov/lab-quality/php/get-rm/reference-materials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58"/>
    <col collapsed="false" customWidth="true" hidden="false" outlineLevel="0" max="6" min="6" style="1" width="34"/>
    <col collapsed="false" customWidth="true" hidden="false" outlineLevel="0" max="7" min="7" style="1" width="9"/>
    <col collapsed="false" customWidth="true" hidden="false" outlineLevel="0" max="10" min="8" style="1" width="12"/>
    <col collapsed="false" customWidth="true" hidden="false" outlineLevel="0" max="11" min="11" style="1" width="13"/>
    <col collapsed="false" customWidth="true" hidden="false" outlineLevel="0" max="16" min="12" style="1" width="11"/>
    <col collapsed="false" customWidth="true" hidden="false" outlineLevel="0" max="17" min="17" style="1" width="46"/>
  </cols>
  <sheetData>
    <row r="1" customFormat="false" ht="30" hidden="false" customHeight="true" outlineLevel="0" collapsed="false">
      <c r="A1" s="14" t="s">
        <v>48</v>
      </c>
      <c r="B1" s="14" t="s">
        <v>16</v>
      </c>
      <c r="C1" s="14" t="s">
        <v>17</v>
      </c>
      <c r="D1" s="14" t="s">
        <v>49</v>
      </c>
      <c r="E1" s="14" t="s">
        <v>50</v>
      </c>
      <c r="F1" s="14" t="s">
        <v>51</v>
      </c>
      <c r="G1" s="14" t="s">
        <v>52</v>
      </c>
      <c r="H1" s="14" t="s">
        <v>53</v>
      </c>
      <c r="I1" s="14" t="s">
        <v>54</v>
      </c>
      <c r="J1" s="14" t="s">
        <v>55</v>
      </c>
      <c r="K1" s="14" t="s">
        <v>56</v>
      </c>
      <c r="L1" s="14" t="s">
        <v>57</v>
      </c>
      <c r="M1" s="14" t="s">
        <v>58</v>
      </c>
      <c r="N1" s="14" t="s">
        <v>59</v>
      </c>
      <c r="O1" s="14" t="s">
        <v>60</v>
      </c>
      <c r="P1" s="14" t="s">
        <v>61</v>
      </c>
      <c r="Q1" s="14" t="s">
        <v>62</v>
      </c>
    </row>
    <row r="2" customFormat="false" ht="15" hidden="false" customHeight="true" outlineLevel="0" collapsed="false">
      <c r="A2" s="15" t="s">
        <v>63</v>
      </c>
      <c r="B2" s="15" t="s">
        <v>20</v>
      </c>
      <c r="C2" s="15" t="s">
        <v>21</v>
      </c>
      <c r="D2" s="16" t="s">
        <v>64</v>
      </c>
      <c r="E2" s="16" t="s">
        <v>65</v>
      </c>
      <c r="F2" s="16" t="s">
        <v>66</v>
      </c>
      <c r="G2" s="15" t="s">
        <v>67</v>
      </c>
      <c r="H2" s="17" t="n">
        <v>46308</v>
      </c>
      <c r="I2" s="17" t="n">
        <v>46314</v>
      </c>
      <c r="J2" s="18" t="s">
        <v>68</v>
      </c>
      <c r="K2" s="18" t="s">
        <v>69</v>
      </c>
      <c r="L2" s="18" t="s">
        <v>70</v>
      </c>
      <c r="M2" s="18" t="s">
        <v>70</v>
      </c>
      <c r="N2" s="18" t="s">
        <v>70</v>
      </c>
      <c r="O2" s="18" t="s">
        <v>70</v>
      </c>
      <c r="P2" s="15" t="s">
        <v>71</v>
      </c>
      <c r="Q2" s="16" t="s">
        <v>72</v>
      </c>
    </row>
    <row r="3" customFormat="false" ht="23.25" hidden="false" customHeight="true" outlineLevel="0" collapsed="false">
      <c r="A3" s="15" t="s">
        <v>73</v>
      </c>
      <c r="B3" s="15" t="s">
        <v>20</v>
      </c>
      <c r="C3" s="15" t="s">
        <v>21</v>
      </c>
      <c r="D3" s="16" t="s">
        <v>64</v>
      </c>
      <c r="E3" s="16" t="s">
        <v>74</v>
      </c>
      <c r="F3" s="16" t="s">
        <v>75</v>
      </c>
      <c r="G3" s="15" t="s">
        <v>67</v>
      </c>
      <c r="H3" s="17" t="n">
        <v>46308</v>
      </c>
      <c r="I3" s="17" t="n">
        <v>46314</v>
      </c>
      <c r="J3" s="18" t="s">
        <v>68</v>
      </c>
      <c r="K3" s="18" t="s">
        <v>69</v>
      </c>
      <c r="L3" s="18" t="s">
        <v>76</v>
      </c>
      <c r="M3" s="18" t="s">
        <v>76</v>
      </c>
      <c r="N3" s="18" t="s">
        <v>76</v>
      </c>
      <c r="O3" s="18" t="s">
        <v>76</v>
      </c>
      <c r="P3" s="15" t="s">
        <v>71</v>
      </c>
      <c r="Q3" s="16" t="s">
        <v>77</v>
      </c>
    </row>
    <row r="4" customFormat="false" ht="23.25" hidden="false" customHeight="true" outlineLevel="0" collapsed="false">
      <c r="A4" s="15" t="s">
        <v>78</v>
      </c>
      <c r="B4" s="15" t="s">
        <v>20</v>
      </c>
      <c r="C4" s="15" t="s">
        <v>21</v>
      </c>
      <c r="D4" s="16" t="s">
        <v>64</v>
      </c>
      <c r="E4" s="16" t="s">
        <v>79</v>
      </c>
      <c r="F4" s="16" t="s">
        <v>80</v>
      </c>
      <c r="G4" s="15" t="s">
        <v>67</v>
      </c>
      <c r="H4" s="17" t="n">
        <v>46308</v>
      </c>
      <c r="I4" s="17" t="n">
        <v>46314</v>
      </c>
      <c r="J4" s="18" t="s">
        <v>81</v>
      </c>
      <c r="K4" s="18" t="s">
        <v>56</v>
      </c>
      <c r="L4" s="18" t="s">
        <v>70</v>
      </c>
      <c r="M4" s="18" t="s">
        <v>70</v>
      </c>
      <c r="N4" s="18" t="s">
        <v>70</v>
      </c>
      <c r="O4" s="18" t="s">
        <v>70</v>
      </c>
      <c r="P4" s="15" t="s">
        <v>71</v>
      </c>
      <c r="Q4" s="16" t="s">
        <v>82</v>
      </c>
    </row>
    <row r="5" customFormat="false" ht="15" hidden="false" customHeight="true" outlineLevel="0" collapsed="false">
      <c r="A5" s="15" t="s">
        <v>83</v>
      </c>
      <c r="B5" s="15" t="s">
        <v>20</v>
      </c>
      <c r="C5" s="15" t="s">
        <v>21</v>
      </c>
      <c r="D5" s="16" t="s">
        <v>64</v>
      </c>
      <c r="E5" s="16" t="s">
        <v>84</v>
      </c>
      <c r="F5" s="16" t="s">
        <v>85</v>
      </c>
      <c r="G5" s="15" t="s">
        <v>86</v>
      </c>
      <c r="H5" s="17" t="n">
        <v>46308</v>
      </c>
      <c r="I5" s="17" t="n">
        <v>46314</v>
      </c>
      <c r="J5" s="18" t="s">
        <v>8</v>
      </c>
      <c r="K5" s="18" t="s">
        <v>69</v>
      </c>
      <c r="L5" s="18" t="s">
        <v>70</v>
      </c>
      <c r="M5" s="18" t="s">
        <v>70</v>
      </c>
      <c r="N5" s="18" t="s">
        <v>70</v>
      </c>
      <c r="O5" s="18" t="s">
        <v>70</v>
      </c>
      <c r="P5" s="15" t="s">
        <v>71</v>
      </c>
      <c r="Q5" s="16" t="s">
        <v>87</v>
      </c>
    </row>
    <row r="6" customFormat="false" ht="23.25" hidden="false" customHeight="true" outlineLevel="0" collapsed="false">
      <c r="A6" s="15" t="s">
        <v>88</v>
      </c>
      <c r="B6" s="15" t="s">
        <v>20</v>
      </c>
      <c r="C6" s="15" t="s">
        <v>21</v>
      </c>
      <c r="D6" s="16" t="s">
        <v>89</v>
      </c>
      <c r="E6" s="16" t="s">
        <v>90</v>
      </c>
      <c r="F6" s="16" t="s">
        <v>91</v>
      </c>
      <c r="G6" s="15" t="s">
        <v>86</v>
      </c>
      <c r="H6" s="17" t="n">
        <v>46308</v>
      </c>
      <c r="I6" s="17" t="n">
        <v>46314</v>
      </c>
      <c r="J6" s="18" t="s">
        <v>81</v>
      </c>
      <c r="K6" s="18" t="s">
        <v>56</v>
      </c>
      <c r="L6" s="18" t="s">
        <v>92</v>
      </c>
      <c r="M6" s="18" t="s">
        <v>92</v>
      </c>
      <c r="N6" s="18" t="s">
        <v>92</v>
      </c>
      <c r="O6" s="18" t="s">
        <v>92</v>
      </c>
      <c r="P6" s="15" t="s">
        <v>71</v>
      </c>
      <c r="Q6" s="16" t="s">
        <v>93</v>
      </c>
    </row>
    <row r="7" customFormat="false" ht="23.25" hidden="false" customHeight="true" outlineLevel="0" collapsed="false">
      <c r="A7" s="15" t="s">
        <v>94</v>
      </c>
      <c r="B7" s="15" t="s">
        <v>20</v>
      </c>
      <c r="C7" s="15" t="s">
        <v>21</v>
      </c>
      <c r="D7" s="16" t="s">
        <v>89</v>
      </c>
      <c r="E7" s="16" t="s">
        <v>95</v>
      </c>
      <c r="F7" s="16" t="s">
        <v>96</v>
      </c>
      <c r="G7" s="15" t="s">
        <v>86</v>
      </c>
      <c r="H7" s="17" t="n">
        <v>46308</v>
      </c>
      <c r="I7" s="17" t="n">
        <v>46314</v>
      </c>
      <c r="J7" s="18" t="s">
        <v>81</v>
      </c>
      <c r="K7" s="18" t="s">
        <v>56</v>
      </c>
      <c r="L7" s="18" t="s">
        <v>92</v>
      </c>
      <c r="M7" s="18" t="s">
        <v>92</v>
      </c>
      <c r="N7" s="18" t="s">
        <v>92</v>
      </c>
      <c r="O7" s="18" t="s">
        <v>92</v>
      </c>
      <c r="P7" s="15" t="s">
        <v>71</v>
      </c>
      <c r="Q7" s="16" t="s">
        <v>97</v>
      </c>
    </row>
    <row r="8" customFormat="false" ht="23.25" hidden="false" customHeight="true" outlineLevel="0" collapsed="false">
      <c r="A8" s="15" t="s">
        <v>98</v>
      </c>
      <c r="B8" s="15" t="s">
        <v>20</v>
      </c>
      <c r="C8" s="15" t="s">
        <v>21</v>
      </c>
      <c r="D8" s="16" t="s">
        <v>89</v>
      </c>
      <c r="E8" s="16" t="s">
        <v>99</v>
      </c>
      <c r="F8" s="16" t="s">
        <v>100</v>
      </c>
      <c r="G8" s="15" t="s">
        <v>86</v>
      </c>
      <c r="H8" s="17" t="n">
        <v>46308</v>
      </c>
      <c r="I8" s="17" t="n">
        <v>46314</v>
      </c>
      <c r="J8" s="18" t="s">
        <v>68</v>
      </c>
      <c r="K8" s="18" t="s">
        <v>69</v>
      </c>
      <c r="L8" s="18" t="s">
        <v>76</v>
      </c>
      <c r="M8" s="18" t="s">
        <v>76</v>
      </c>
      <c r="N8" s="18" t="s">
        <v>76</v>
      </c>
      <c r="O8" s="18" t="s">
        <v>76</v>
      </c>
      <c r="P8" s="15" t="s">
        <v>71</v>
      </c>
      <c r="Q8" s="16" t="s">
        <v>101</v>
      </c>
    </row>
    <row r="9" customFormat="false" ht="15" hidden="false" customHeight="true" outlineLevel="0" collapsed="false">
      <c r="A9" s="15" t="s">
        <v>102</v>
      </c>
      <c r="B9" s="15" t="s">
        <v>20</v>
      </c>
      <c r="C9" s="15" t="s">
        <v>21</v>
      </c>
      <c r="D9" s="16" t="s">
        <v>103</v>
      </c>
      <c r="E9" s="16" t="s">
        <v>104</v>
      </c>
      <c r="F9" s="16" t="s">
        <v>105</v>
      </c>
      <c r="G9" s="15" t="s">
        <v>86</v>
      </c>
      <c r="H9" s="17" t="n">
        <v>46308</v>
      </c>
      <c r="I9" s="17" t="n">
        <v>46314</v>
      </c>
      <c r="J9" s="18" t="s">
        <v>8</v>
      </c>
      <c r="K9" s="18" t="s">
        <v>69</v>
      </c>
      <c r="L9" s="18" t="s">
        <v>92</v>
      </c>
      <c r="M9" s="18" t="s">
        <v>92</v>
      </c>
      <c r="N9" s="18" t="s">
        <v>92</v>
      </c>
      <c r="O9" s="18" t="s">
        <v>92</v>
      </c>
      <c r="P9" s="15" t="s">
        <v>71</v>
      </c>
      <c r="Q9" s="16" t="s">
        <v>106</v>
      </c>
    </row>
    <row r="10" customFormat="false" ht="23.25" hidden="false" customHeight="true" outlineLevel="0" collapsed="false">
      <c r="A10" s="15" t="s">
        <v>107</v>
      </c>
      <c r="B10" s="15" t="s">
        <v>20</v>
      </c>
      <c r="C10" s="15" t="s">
        <v>21</v>
      </c>
      <c r="D10" s="16" t="s">
        <v>103</v>
      </c>
      <c r="E10" s="16" t="s">
        <v>108</v>
      </c>
      <c r="F10" s="16" t="s">
        <v>109</v>
      </c>
      <c r="G10" s="15" t="s">
        <v>86</v>
      </c>
      <c r="H10" s="17" t="n">
        <v>46308</v>
      </c>
      <c r="I10" s="17" t="n">
        <v>46314</v>
      </c>
      <c r="J10" s="18" t="s">
        <v>8</v>
      </c>
      <c r="K10" s="18" t="s">
        <v>69</v>
      </c>
      <c r="L10" s="18" t="s">
        <v>92</v>
      </c>
      <c r="M10" s="18" t="s">
        <v>92</v>
      </c>
      <c r="N10" s="18" t="s">
        <v>92</v>
      </c>
      <c r="O10" s="18" t="s">
        <v>92</v>
      </c>
      <c r="P10" s="15" t="s">
        <v>71</v>
      </c>
      <c r="Q10" s="16" t="s">
        <v>110</v>
      </c>
    </row>
    <row r="11" customFormat="false" ht="23.25" hidden="false" customHeight="true" outlineLevel="0" collapsed="false">
      <c r="A11" s="15" t="s">
        <v>111</v>
      </c>
      <c r="B11" s="15" t="s">
        <v>20</v>
      </c>
      <c r="C11" s="15" t="s">
        <v>21</v>
      </c>
      <c r="D11" s="16" t="s">
        <v>112</v>
      </c>
      <c r="E11" s="16" t="s">
        <v>113</v>
      </c>
      <c r="F11" s="16" t="s">
        <v>114</v>
      </c>
      <c r="G11" s="15" t="s">
        <v>86</v>
      </c>
      <c r="H11" s="17" t="n">
        <v>46308</v>
      </c>
      <c r="I11" s="17" t="n">
        <v>46314</v>
      </c>
      <c r="J11" s="18" t="s">
        <v>81</v>
      </c>
      <c r="K11" s="18" t="s">
        <v>56</v>
      </c>
      <c r="L11" s="18" t="s">
        <v>115</v>
      </c>
      <c r="M11" s="18" t="s">
        <v>115</v>
      </c>
      <c r="N11" s="18" t="s">
        <v>92</v>
      </c>
      <c r="O11" s="18" t="s">
        <v>92</v>
      </c>
      <c r="P11" s="15" t="s">
        <v>71</v>
      </c>
      <c r="Q11" s="16" t="s">
        <v>116</v>
      </c>
    </row>
    <row r="12" customFormat="false" ht="15" hidden="false" customHeight="true" outlineLevel="0" collapsed="false">
      <c r="A12" s="15" t="s">
        <v>117</v>
      </c>
      <c r="B12" s="15" t="s">
        <v>20</v>
      </c>
      <c r="C12" s="15" t="s">
        <v>21</v>
      </c>
      <c r="D12" s="16" t="s">
        <v>112</v>
      </c>
      <c r="E12" s="16" t="s">
        <v>118</v>
      </c>
      <c r="F12" s="16" t="s">
        <v>119</v>
      </c>
      <c r="G12" s="15" t="s">
        <v>86</v>
      </c>
      <c r="H12" s="17" t="n">
        <v>46308</v>
      </c>
      <c r="I12" s="17" t="n">
        <v>46314</v>
      </c>
      <c r="J12" s="18" t="s">
        <v>81</v>
      </c>
      <c r="K12" s="18" t="s">
        <v>56</v>
      </c>
      <c r="L12" s="18" t="s">
        <v>115</v>
      </c>
      <c r="M12" s="18" t="s">
        <v>115</v>
      </c>
      <c r="N12" s="18" t="s">
        <v>92</v>
      </c>
      <c r="O12" s="18" t="s">
        <v>92</v>
      </c>
      <c r="P12" s="15" t="s">
        <v>71</v>
      </c>
      <c r="Q12" s="16" t="s">
        <v>120</v>
      </c>
    </row>
    <row r="13" customFormat="false" ht="23.25" hidden="false" customHeight="true" outlineLevel="0" collapsed="false">
      <c r="A13" s="15" t="s">
        <v>121</v>
      </c>
      <c r="B13" s="15" t="s">
        <v>20</v>
      </c>
      <c r="C13" s="15" t="s">
        <v>21</v>
      </c>
      <c r="D13" s="16" t="s">
        <v>112</v>
      </c>
      <c r="E13" s="16" t="s">
        <v>122</v>
      </c>
      <c r="F13" s="16" t="s">
        <v>123</v>
      </c>
      <c r="G13" s="15" t="s">
        <v>86</v>
      </c>
      <c r="H13" s="17" t="n">
        <v>46308</v>
      </c>
      <c r="I13" s="17" t="n">
        <v>46314</v>
      </c>
      <c r="J13" s="18" t="s">
        <v>81</v>
      </c>
      <c r="K13" s="18" t="s">
        <v>56</v>
      </c>
      <c r="L13" s="18" t="s">
        <v>115</v>
      </c>
      <c r="M13" s="18" t="s">
        <v>115</v>
      </c>
      <c r="N13" s="18" t="s">
        <v>92</v>
      </c>
      <c r="O13" s="18" t="s">
        <v>92</v>
      </c>
      <c r="P13" s="15" t="s">
        <v>71</v>
      </c>
      <c r="Q13" s="16" t="s">
        <v>124</v>
      </c>
    </row>
    <row r="14" customFormat="false" ht="15" hidden="false" customHeight="true" outlineLevel="0" collapsed="false">
      <c r="A14" s="15" t="s">
        <v>125</v>
      </c>
      <c r="B14" s="15" t="s">
        <v>22</v>
      </c>
      <c r="C14" s="15" t="s">
        <v>23</v>
      </c>
      <c r="D14" s="16" t="s">
        <v>126</v>
      </c>
      <c r="E14" s="16" t="s">
        <v>127</v>
      </c>
      <c r="F14" s="16" t="s">
        <v>128</v>
      </c>
      <c r="G14" s="15" t="s">
        <v>86</v>
      </c>
      <c r="H14" s="17" t="n">
        <v>46315</v>
      </c>
      <c r="I14" s="17" t="n">
        <v>46321</v>
      </c>
      <c r="J14" s="18" t="s">
        <v>81</v>
      </c>
      <c r="K14" s="18" t="s">
        <v>56</v>
      </c>
      <c r="L14" s="18" t="s">
        <v>115</v>
      </c>
      <c r="M14" s="18" t="s">
        <v>115</v>
      </c>
      <c r="N14" s="18" t="s">
        <v>92</v>
      </c>
      <c r="O14" s="18" t="s">
        <v>115</v>
      </c>
      <c r="P14" s="15" t="s">
        <v>71</v>
      </c>
      <c r="Q14" s="16" t="s">
        <v>129</v>
      </c>
    </row>
    <row r="15" customFormat="false" ht="15" hidden="false" customHeight="true" outlineLevel="0" collapsed="false">
      <c r="A15" s="15" t="s">
        <v>130</v>
      </c>
      <c r="B15" s="15" t="s">
        <v>22</v>
      </c>
      <c r="C15" s="15" t="s">
        <v>23</v>
      </c>
      <c r="D15" s="16" t="s">
        <v>126</v>
      </c>
      <c r="E15" s="16" t="s">
        <v>131</v>
      </c>
      <c r="F15" s="16" t="s">
        <v>132</v>
      </c>
      <c r="G15" s="15" t="s">
        <v>86</v>
      </c>
      <c r="H15" s="17" t="n">
        <v>46315</v>
      </c>
      <c r="I15" s="17" t="n">
        <v>46321</v>
      </c>
      <c r="J15" s="18" t="s">
        <v>81</v>
      </c>
      <c r="K15" s="18" t="s">
        <v>56</v>
      </c>
      <c r="L15" s="18" t="s">
        <v>115</v>
      </c>
      <c r="M15" s="18" t="s">
        <v>115</v>
      </c>
      <c r="N15" s="18" t="s">
        <v>92</v>
      </c>
      <c r="O15" s="18" t="s">
        <v>115</v>
      </c>
      <c r="P15" s="15" t="s">
        <v>71</v>
      </c>
      <c r="Q15" s="16" t="s">
        <v>133</v>
      </c>
    </row>
    <row r="16" customFormat="false" ht="23.25" hidden="false" customHeight="true" outlineLevel="0" collapsed="false">
      <c r="A16" s="15" t="s">
        <v>134</v>
      </c>
      <c r="B16" s="15" t="s">
        <v>22</v>
      </c>
      <c r="C16" s="15" t="s">
        <v>23</v>
      </c>
      <c r="D16" s="16" t="s">
        <v>126</v>
      </c>
      <c r="E16" s="16" t="s">
        <v>135</v>
      </c>
      <c r="F16" s="16" t="s">
        <v>136</v>
      </c>
      <c r="G16" s="15" t="s">
        <v>86</v>
      </c>
      <c r="H16" s="17" t="n">
        <v>46315</v>
      </c>
      <c r="I16" s="17" t="n">
        <v>46321</v>
      </c>
      <c r="J16" s="18" t="s">
        <v>81</v>
      </c>
      <c r="K16" s="18" t="s">
        <v>56</v>
      </c>
      <c r="L16" s="18" t="s">
        <v>115</v>
      </c>
      <c r="M16" s="18" t="s">
        <v>115</v>
      </c>
      <c r="N16" s="18" t="s">
        <v>92</v>
      </c>
      <c r="O16" s="18" t="s">
        <v>115</v>
      </c>
      <c r="P16" s="15" t="s">
        <v>71</v>
      </c>
      <c r="Q16" s="16" t="s">
        <v>137</v>
      </c>
    </row>
    <row r="17" customFormat="false" ht="23.25" hidden="false" customHeight="true" outlineLevel="0" collapsed="false">
      <c r="A17" s="15" t="s">
        <v>138</v>
      </c>
      <c r="B17" s="15" t="s">
        <v>22</v>
      </c>
      <c r="C17" s="15" t="s">
        <v>23</v>
      </c>
      <c r="D17" s="16" t="s">
        <v>126</v>
      </c>
      <c r="E17" s="16" t="s">
        <v>139</v>
      </c>
      <c r="F17" s="16" t="s">
        <v>140</v>
      </c>
      <c r="G17" s="15" t="s">
        <v>86</v>
      </c>
      <c r="H17" s="17" t="n">
        <v>46315</v>
      </c>
      <c r="I17" s="17" t="n">
        <v>46321</v>
      </c>
      <c r="J17" s="18" t="s">
        <v>81</v>
      </c>
      <c r="K17" s="18" t="s">
        <v>56</v>
      </c>
      <c r="L17" s="18" t="s">
        <v>115</v>
      </c>
      <c r="M17" s="18" t="s">
        <v>115</v>
      </c>
      <c r="N17" s="18" t="s">
        <v>92</v>
      </c>
      <c r="O17" s="18" t="s">
        <v>115</v>
      </c>
      <c r="P17" s="15" t="s">
        <v>71</v>
      </c>
      <c r="Q17" s="16" t="s">
        <v>141</v>
      </c>
    </row>
    <row r="18" customFormat="false" ht="23.25" hidden="false" customHeight="true" outlineLevel="0" collapsed="false">
      <c r="A18" s="15" t="s">
        <v>142</v>
      </c>
      <c r="B18" s="15" t="s">
        <v>22</v>
      </c>
      <c r="C18" s="15" t="s">
        <v>23</v>
      </c>
      <c r="D18" s="16" t="s">
        <v>126</v>
      </c>
      <c r="E18" s="16" t="s">
        <v>143</v>
      </c>
      <c r="F18" s="16" t="s">
        <v>144</v>
      </c>
      <c r="G18" s="15" t="s">
        <v>86</v>
      </c>
      <c r="H18" s="17" t="n">
        <v>46315</v>
      </c>
      <c r="I18" s="17" t="n">
        <v>46321</v>
      </c>
      <c r="J18" s="18" t="s">
        <v>8</v>
      </c>
      <c r="K18" s="18" t="s">
        <v>69</v>
      </c>
      <c r="L18" s="18" t="s">
        <v>76</v>
      </c>
      <c r="M18" s="18" t="s">
        <v>76</v>
      </c>
      <c r="N18" s="18" t="s">
        <v>76</v>
      </c>
      <c r="O18" s="18" t="s">
        <v>76</v>
      </c>
      <c r="P18" s="15" t="s">
        <v>71</v>
      </c>
      <c r="Q18" s="16" t="s">
        <v>145</v>
      </c>
    </row>
    <row r="19" customFormat="false" ht="15" hidden="false" customHeight="true" outlineLevel="0" collapsed="false">
      <c r="A19" s="15" t="s">
        <v>146</v>
      </c>
      <c r="B19" s="15" t="s">
        <v>22</v>
      </c>
      <c r="C19" s="15" t="s">
        <v>23</v>
      </c>
      <c r="D19" s="16" t="s">
        <v>126</v>
      </c>
      <c r="E19" s="16" t="s">
        <v>147</v>
      </c>
      <c r="F19" s="16" t="s">
        <v>148</v>
      </c>
      <c r="G19" s="15" t="s">
        <v>86</v>
      </c>
      <c r="H19" s="17" t="n">
        <v>46315</v>
      </c>
      <c r="I19" s="17" t="n">
        <v>46321</v>
      </c>
      <c r="J19" s="18" t="s">
        <v>68</v>
      </c>
      <c r="K19" s="18" t="s">
        <v>69</v>
      </c>
      <c r="L19" s="18" t="s">
        <v>76</v>
      </c>
      <c r="M19" s="18" t="s">
        <v>76</v>
      </c>
      <c r="N19" s="18" t="s">
        <v>76</v>
      </c>
      <c r="O19" s="18" t="s">
        <v>76</v>
      </c>
      <c r="P19" s="15" t="s">
        <v>71</v>
      </c>
      <c r="Q19" s="16" t="s">
        <v>149</v>
      </c>
    </row>
    <row r="20" customFormat="false" ht="15" hidden="false" customHeight="true" outlineLevel="0" collapsed="false">
      <c r="A20" s="15" t="s">
        <v>150</v>
      </c>
      <c r="B20" s="15" t="s">
        <v>22</v>
      </c>
      <c r="C20" s="15" t="s">
        <v>23</v>
      </c>
      <c r="D20" s="16" t="s">
        <v>126</v>
      </c>
      <c r="E20" s="16" t="s">
        <v>151</v>
      </c>
      <c r="F20" s="16" t="s">
        <v>152</v>
      </c>
      <c r="G20" s="15" t="s">
        <v>86</v>
      </c>
      <c r="H20" s="17" t="n">
        <v>46315</v>
      </c>
      <c r="I20" s="17" t="n">
        <v>46321</v>
      </c>
      <c r="J20" s="18" t="s">
        <v>68</v>
      </c>
      <c r="K20" s="18" t="s">
        <v>69</v>
      </c>
      <c r="L20" s="18" t="s">
        <v>76</v>
      </c>
      <c r="M20" s="18" t="s">
        <v>76</v>
      </c>
      <c r="N20" s="18" t="s">
        <v>76</v>
      </c>
      <c r="O20" s="18" t="s">
        <v>76</v>
      </c>
      <c r="P20" s="15" t="s">
        <v>71</v>
      </c>
      <c r="Q20" s="16" t="s">
        <v>149</v>
      </c>
    </row>
    <row r="21" customFormat="false" ht="15" hidden="false" customHeight="true" outlineLevel="0" collapsed="false">
      <c r="A21" s="15" t="s">
        <v>153</v>
      </c>
      <c r="B21" s="15" t="s">
        <v>22</v>
      </c>
      <c r="C21" s="15" t="s">
        <v>154</v>
      </c>
      <c r="D21" s="16" t="s">
        <v>155</v>
      </c>
      <c r="E21" s="16" t="s">
        <v>156</v>
      </c>
      <c r="F21" s="16" t="s">
        <v>157</v>
      </c>
      <c r="G21" s="15" t="s">
        <v>67</v>
      </c>
      <c r="H21" s="17" t="n">
        <v>46315</v>
      </c>
      <c r="I21" s="17" t="n">
        <v>46335</v>
      </c>
      <c r="J21" s="18" t="s">
        <v>68</v>
      </c>
      <c r="K21" s="18" t="s">
        <v>69</v>
      </c>
      <c r="L21" s="18" t="s">
        <v>76</v>
      </c>
      <c r="M21" s="18" t="s">
        <v>76</v>
      </c>
      <c r="N21" s="18" t="s">
        <v>76</v>
      </c>
      <c r="O21" s="18" t="s">
        <v>76</v>
      </c>
      <c r="P21" s="15" t="s">
        <v>71</v>
      </c>
      <c r="Q21" s="16" t="s">
        <v>158</v>
      </c>
    </row>
    <row r="22" customFormat="false" ht="15" hidden="false" customHeight="true" outlineLevel="0" collapsed="false">
      <c r="A22" s="15" t="s">
        <v>159</v>
      </c>
      <c r="B22" s="15" t="s">
        <v>22</v>
      </c>
      <c r="C22" s="15" t="s">
        <v>23</v>
      </c>
      <c r="D22" s="16" t="s">
        <v>126</v>
      </c>
      <c r="E22" s="16" t="s">
        <v>160</v>
      </c>
      <c r="F22" s="16" t="s">
        <v>161</v>
      </c>
      <c r="G22" s="15" t="s">
        <v>86</v>
      </c>
      <c r="H22" s="17" t="n">
        <v>46315</v>
      </c>
      <c r="I22" s="17" t="n">
        <v>46321</v>
      </c>
      <c r="J22" s="18" t="s">
        <v>8</v>
      </c>
      <c r="K22" s="18" t="s">
        <v>69</v>
      </c>
      <c r="L22" s="18" t="s">
        <v>76</v>
      </c>
      <c r="M22" s="18" t="s">
        <v>76</v>
      </c>
      <c r="N22" s="18" t="s">
        <v>76</v>
      </c>
      <c r="O22" s="18" t="s">
        <v>76</v>
      </c>
      <c r="P22" s="15" t="s">
        <v>71</v>
      </c>
      <c r="Q22" s="16" t="s">
        <v>162</v>
      </c>
    </row>
    <row r="23" customFormat="false" ht="23.25" hidden="false" customHeight="true" outlineLevel="0" collapsed="false">
      <c r="A23" s="15" t="s">
        <v>163</v>
      </c>
      <c r="B23" s="15" t="s">
        <v>24</v>
      </c>
      <c r="C23" s="15" t="s">
        <v>25</v>
      </c>
      <c r="D23" s="16" t="s">
        <v>164</v>
      </c>
      <c r="E23" s="16" t="s">
        <v>165</v>
      </c>
      <c r="F23" s="16" t="s">
        <v>166</v>
      </c>
      <c r="G23" s="15" t="s">
        <v>86</v>
      </c>
      <c r="H23" s="17" t="n">
        <v>46322</v>
      </c>
      <c r="I23" s="17" t="n">
        <v>46328</v>
      </c>
      <c r="J23" s="18" t="s">
        <v>81</v>
      </c>
      <c r="K23" s="18" t="s">
        <v>56</v>
      </c>
      <c r="L23" s="18" t="s">
        <v>115</v>
      </c>
      <c r="M23" s="18" t="s">
        <v>115</v>
      </c>
      <c r="N23" s="18" t="s">
        <v>115</v>
      </c>
      <c r="O23" s="18" t="s">
        <v>92</v>
      </c>
      <c r="P23" s="15" t="s">
        <v>71</v>
      </c>
      <c r="Q23" s="16" t="s">
        <v>167</v>
      </c>
    </row>
    <row r="24" customFormat="false" ht="15" hidden="false" customHeight="true" outlineLevel="0" collapsed="false">
      <c r="A24" s="15" t="s">
        <v>168</v>
      </c>
      <c r="B24" s="15" t="s">
        <v>24</v>
      </c>
      <c r="C24" s="15" t="s">
        <v>25</v>
      </c>
      <c r="D24" s="16" t="s">
        <v>164</v>
      </c>
      <c r="E24" s="16" t="s">
        <v>169</v>
      </c>
      <c r="F24" s="16" t="s">
        <v>170</v>
      </c>
      <c r="G24" s="15" t="s">
        <v>86</v>
      </c>
      <c r="H24" s="17" t="n">
        <v>46322</v>
      </c>
      <c r="I24" s="17" t="n">
        <v>46328</v>
      </c>
      <c r="J24" s="18" t="s">
        <v>81</v>
      </c>
      <c r="K24" s="18" t="s">
        <v>56</v>
      </c>
      <c r="L24" s="18" t="s">
        <v>115</v>
      </c>
      <c r="M24" s="18" t="s">
        <v>115</v>
      </c>
      <c r="N24" s="18" t="s">
        <v>92</v>
      </c>
      <c r="O24" s="18" t="s">
        <v>115</v>
      </c>
      <c r="P24" s="15" t="s">
        <v>71</v>
      </c>
      <c r="Q24" s="16" t="s">
        <v>171</v>
      </c>
    </row>
    <row r="25" customFormat="false" ht="23.25" hidden="false" customHeight="true" outlineLevel="0" collapsed="false">
      <c r="A25" s="15" t="s">
        <v>172</v>
      </c>
      <c r="B25" s="15" t="s">
        <v>24</v>
      </c>
      <c r="C25" s="15" t="s">
        <v>25</v>
      </c>
      <c r="D25" s="16" t="s">
        <v>164</v>
      </c>
      <c r="E25" s="16" t="s">
        <v>173</v>
      </c>
      <c r="F25" s="16" t="s">
        <v>174</v>
      </c>
      <c r="G25" s="15" t="s">
        <v>86</v>
      </c>
      <c r="H25" s="17" t="n">
        <v>46322</v>
      </c>
      <c r="I25" s="17" t="n">
        <v>46328</v>
      </c>
      <c r="J25" s="18" t="s">
        <v>68</v>
      </c>
      <c r="K25" s="18" t="s">
        <v>69</v>
      </c>
      <c r="L25" s="18" t="s">
        <v>76</v>
      </c>
      <c r="M25" s="18" t="s">
        <v>76</v>
      </c>
      <c r="N25" s="18" t="s">
        <v>76</v>
      </c>
      <c r="O25" s="18" t="s">
        <v>76</v>
      </c>
      <c r="P25" s="15" t="s">
        <v>71</v>
      </c>
      <c r="Q25" s="16" t="s">
        <v>175</v>
      </c>
    </row>
    <row r="26" customFormat="false" ht="23.25" hidden="false" customHeight="true" outlineLevel="0" collapsed="false">
      <c r="A26" s="15" t="s">
        <v>176</v>
      </c>
      <c r="B26" s="15" t="s">
        <v>24</v>
      </c>
      <c r="C26" s="15" t="s">
        <v>25</v>
      </c>
      <c r="D26" s="16" t="s">
        <v>164</v>
      </c>
      <c r="E26" s="16" t="s">
        <v>177</v>
      </c>
      <c r="F26" s="16" t="s">
        <v>178</v>
      </c>
      <c r="G26" s="15" t="s">
        <v>86</v>
      </c>
      <c r="H26" s="17" t="n">
        <v>46322</v>
      </c>
      <c r="I26" s="17" t="n">
        <v>46328</v>
      </c>
      <c r="J26" s="18" t="s">
        <v>68</v>
      </c>
      <c r="K26" s="18" t="s">
        <v>69</v>
      </c>
      <c r="L26" s="18" t="s">
        <v>76</v>
      </c>
      <c r="M26" s="18" t="s">
        <v>76</v>
      </c>
      <c r="N26" s="18" t="s">
        <v>76</v>
      </c>
      <c r="O26" s="18" t="s">
        <v>76</v>
      </c>
      <c r="P26" s="15" t="s">
        <v>71</v>
      </c>
      <c r="Q26" s="16" t="s">
        <v>179</v>
      </c>
    </row>
    <row r="27" customFormat="false" ht="15" hidden="false" customHeight="true" outlineLevel="0" collapsed="false">
      <c r="A27" s="15" t="s">
        <v>180</v>
      </c>
      <c r="B27" s="15" t="s">
        <v>24</v>
      </c>
      <c r="C27" s="15" t="s">
        <v>25</v>
      </c>
      <c r="D27" s="16" t="s">
        <v>164</v>
      </c>
      <c r="E27" s="16" t="s">
        <v>181</v>
      </c>
      <c r="F27" s="16" t="s">
        <v>182</v>
      </c>
      <c r="G27" s="15" t="s">
        <v>86</v>
      </c>
      <c r="H27" s="17" t="n">
        <v>46322</v>
      </c>
      <c r="I27" s="17" t="n">
        <v>46328</v>
      </c>
      <c r="J27" s="18" t="s">
        <v>68</v>
      </c>
      <c r="K27" s="18" t="s">
        <v>69</v>
      </c>
      <c r="L27" s="18" t="s">
        <v>76</v>
      </c>
      <c r="M27" s="18" t="s">
        <v>76</v>
      </c>
      <c r="N27" s="18" t="s">
        <v>76</v>
      </c>
      <c r="O27" s="18" t="s">
        <v>76</v>
      </c>
      <c r="P27" s="15" t="s">
        <v>183</v>
      </c>
      <c r="Q27" s="16" t="s">
        <v>184</v>
      </c>
    </row>
    <row r="28" customFormat="false" ht="15" hidden="false" customHeight="true" outlineLevel="0" collapsed="false">
      <c r="A28" s="15" t="s">
        <v>185</v>
      </c>
      <c r="B28" s="15" t="s">
        <v>24</v>
      </c>
      <c r="C28" s="15" t="s">
        <v>25</v>
      </c>
      <c r="D28" s="16" t="s">
        <v>164</v>
      </c>
      <c r="E28" s="16" t="s">
        <v>186</v>
      </c>
      <c r="F28" s="16" t="s">
        <v>187</v>
      </c>
      <c r="G28" s="15" t="s">
        <v>86</v>
      </c>
      <c r="H28" s="17" t="n">
        <v>46322</v>
      </c>
      <c r="I28" s="17" t="n">
        <v>46328</v>
      </c>
      <c r="J28" s="18" t="s">
        <v>68</v>
      </c>
      <c r="K28" s="18" t="s">
        <v>69</v>
      </c>
      <c r="L28" s="18" t="s">
        <v>76</v>
      </c>
      <c r="M28" s="18" t="s">
        <v>76</v>
      </c>
      <c r="N28" s="18" t="s">
        <v>76</v>
      </c>
      <c r="O28" s="18" t="s">
        <v>76</v>
      </c>
      <c r="P28" s="15" t="s">
        <v>188</v>
      </c>
      <c r="Q28" s="16" t="s">
        <v>189</v>
      </c>
    </row>
    <row r="29" customFormat="false" ht="15" hidden="false" customHeight="true" outlineLevel="0" collapsed="false">
      <c r="A29" s="15" t="s">
        <v>190</v>
      </c>
      <c r="B29" s="15" t="s">
        <v>24</v>
      </c>
      <c r="C29" s="15" t="s">
        <v>25</v>
      </c>
      <c r="D29" s="16" t="s">
        <v>164</v>
      </c>
      <c r="E29" s="16" t="s">
        <v>191</v>
      </c>
      <c r="F29" s="16" t="s">
        <v>192</v>
      </c>
      <c r="G29" s="15" t="s">
        <v>86</v>
      </c>
      <c r="H29" s="17" t="n">
        <v>46322</v>
      </c>
      <c r="I29" s="17" t="n">
        <v>46328</v>
      </c>
      <c r="J29" s="18" t="s">
        <v>68</v>
      </c>
      <c r="K29" s="18" t="s">
        <v>69</v>
      </c>
      <c r="L29" s="18" t="s">
        <v>76</v>
      </c>
      <c r="M29" s="18" t="s">
        <v>76</v>
      </c>
      <c r="N29" s="18" t="s">
        <v>76</v>
      </c>
      <c r="O29" s="18" t="s">
        <v>76</v>
      </c>
      <c r="P29" s="15" t="s">
        <v>193</v>
      </c>
      <c r="Q29" s="16" t="s">
        <v>194</v>
      </c>
    </row>
    <row r="30" customFormat="false" ht="23.25" hidden="false" customHeight="true" outlineLevel="0" collapsed="false">
      <c r="A30" s="15" t="s">
        <v>195</v>
      </c>
      <c r="B30" s="15" t="s">
        <v>24</v>
      </c>
      <c r="C30" s="15" t="s">
        <v>25</v>
      </c>
      <c r="D30" s="16" t="s">
        <v>155</v>
      </c>
      <c r="E30" s="16" t="s">
        <v>196</v>
      </c>
      <c r="F30" s="16" t="s">
        <v>197</v>
      </c>
      <c r="G30" s="15" t="s">
        <v>67</v>
      </c>
      <c r="H30" s="17" t="n">
        <v>46322</v>
      </c>
      <c r="I30" s="17" t="n">
        <v>46328</v>
      </c>
      <c r="J30" s="18" t="s">
        <v>68</v>
      </c>
      <c r="K30" s="18" t="s">
        <v>69</v>
      </c>
      <c r="L30" s="18" t="s">
        <v>76</v>
      </c>
      <c r="M30" s="18" t="s">
        <v>76</v>
      </c>
      <c r="N30" s="18" t="s">
        <v>76</v>
      </c>
      <c r="O30" s="18" t="s">
        <v>76</v>
      </c>
      <c r="P30" s="15" t="s">
        <v>71</v>
      </c>
      <c r="Q30" s="16" t="s">
        <v>198</v>
      </c>
    </row>
    <row r="31" customFormat="false" ht="15" hidden="false" customHeight="true" outlineLevel="0" collapsed="false">
      <c r="A31" s="15" t="s">
        <v>199</v>
      </c>
      <c r="B31" s="15" t="s">
        <v>26</v>
      </c>
      <c r="C31" s="15" t="s">
        <v>27</v>
      </c>
      <c r="D31" s="16" t="s">
        <v>200</v>
      </c>
      <c r="E31" s="16" t="s">
        <v>201</v>
      </c>
      <c r="F31" s="16" t="s">
        <v>119</v>
      </c>
      <c r="G31" s="15" t="s">
        <v>86</v>
      </c>
      <c r="H31" s="17" t="n">
        <v>46329</v>
      </c>
      <c r="I31" s="17" t="n">
        <v>46335</v>
      </c>
      <c r="J31" s="18" t="s">
        <v>68</v>
      </c>
      <c r="K31" s="18" t="s">
        <v>69</v>
      </c>
      <c r="L31" s="18" t="s">
        <v>76</v>
      </c>
      <c r="M31" s="18" t="s">
        <v>76</v>
      </c>
      <c r="N31" s="18" t="s">
        <v>76</v>
      </c>
      <c r="O31" s="18" t="s">
        <v>76</v>
      </c>
      <c r="P31" s="15" t="s">
        <v>71</v>
      </c>
      <c r="Q31" s="16"/>
    </row>
    <row r="32" customFormat="false" ht="15" hidden="false" customHeight="true" outlineLevel="0" collapsed="false">
      <c r="A32" s="15" t="s">
        <v>202</v>
      </c>
      <c r="B32" s="15" t="s">
        <v>26</v>
      </c>
      <c r="C32" s="15" t="s">
        <v>27</v>
      </c>
      <c r="D32" s="16" t="s">
        <v>200</v>
      </c>
      <c r="E32" s="16" t="s">
        <v>203</v>
      </c>
      <c r="F32" s="16" t="s">
        <v>204</v>
      </c>
      <c r="G32" s="15" t="s">
        <v>86</v>
      </c>
      <c r="H32" s="17" t="n">
        <v>46329</v>
      </c>
      <c r="I32" s="17" t="n">
        <v>46335</v>
      </c>
      <c r="J32" s="18" t="s">
        <v>68</v>
      </c>
      <c r="K32" s="18" t="s">
        <v>69</v>
      </c>
      <c r="L32" s="18" t="s">
        <v>76</v>
      </c>
      <c r="M32" s="18" t="s">
        <v>76</v>
      </c>
      <c r="N32" s="18" t="s">
        <v>76</v>
      </c>
      <c r="O32" s="18" t="s">
        <v>76</v>
      </c>
      <c r="P32" s="15" t="s">
        <v>205</v>
      </c>
      <c r="Q32" s="16" t="s">
        <v>206</v>
      </c>
    </row>
    <row r="33" customFormat="false" ht="23.25" hidden="false" customHeight="true" outlineLevel="0" collapsed="false">
      <c r="A33" s="15" t="s">
        <v>207</v>
      </c>
      <c r="B33" s="15" t="s">
        <v>26</v>
      </c>
      <c r="C33" s="15" t="s">
        <v>27</v>
      </c>
      <c r="D33" s="16" t="s">
        <v>155</v>
      </c>
      <c r="E33" s="16" t="s">
        <v>208</v>
      </c>
      <c r="F33" s="16" t="s">
        <v>208</v>
      </c>
      <c r="G33" s="15" t="s">
        <v>67</v>
      </c>
      <c r="H33" s="17" t="n">
        <v>46329</v>
      </c>
      <c r="I33" s="17" t="n">
        <v>46335</v>
      </c>
      <c r="J33" s="18" t="s">
        <v>68</v>
      </c>
      <c r="K33" s="18" t="s">
        <v>69</v>
      </c>
      <c r="L33" s="18" t="s">
        <v>76</v>
      </c>
      <c r="M33" s="18" t="s">
        <v>76</v>
      </c>
      <c r="N33" s="18" t="s">
        <v>76</v>
      </c>
      <c r="O33" s="18" t="s">
        <v>76</v>
      </c>
      <c r="P33" s="15" t="s">
        <v>71</v>
      </c>
      <c r="Q33" s="16" t="s">
        <v>198</v>
      </c>
    </row>
    <row r="34" customFormat="false" ht="15" hidden="false" customHeight="true" outlineLevel="0" collapsed="false">
      <c r="A34" s="15" t="s">
        <v>209</v>
      </c>
      <c r="B34" s="15" t="s">
        <v>26</v>
      </c>
      <c r="C34" s="15" t="s">
        <v>27</v>
      </c>
      <c r="D34" s="16" t="s">
        <v>200</v>
      </c>
      <c r="E34" s="16" t="s">
        <v>210</v>
      </c>
      <c r="F34" s="16" t="s">
        <v>211</v>
      </c>
      <c r="G34" s="15" t="s">
        <v>67</v>
      </c>
      <c r="H34" s="17" t="n">
        <v>46329</v>
      </c>
      <c r="I34" s="17" t="n">
        <v>46335</v>
      </c>
      <c r="J34" s="18" t="s">
        <v>68</v>
      </c>
      <c r="K34" s="18" t="s">
        <v>69</v>
      </c>
      <c r="L34" s="18" t="s">
        <v>70</v>
      </c>
      <c r="M34" s="18" t="s">
        <v>70</v>
      </c>
      <c r="N34" s="18" t="s">
        <v>70</v>
      </c>
      <c r="O34" s="18" t="s">
        <v>70</v>
      </c>
      <c r="P34" s="15" t="s">
        <v>71</v>
      </c>
      <c r="Q34" s="16" t="s">
        <v>212</v>
      </c>
    </row>
    <row r="35" customFormat="false" ht="23.25" hidden="false" customHeight="true" outlineLevel="0" collapsed="false">
      <c r="A35" s="15" t="s">
        <v>213</v>
      </c>
      <c r="B35" s="15" t="s">
        <v>28</v>
      </c>
      <c r="C35" s="15" t="s">
        <v>29</v>
      </c>
      <c r="D35" s="16" t="s">
        <v>155</v>
      </c>
      <c r="E35" s="16" t="s">
        <v>214</v>
      </c>
      <c r="F35" s="16" t="s">
        <v>215</v>
      </c>
      <c r="G35" s="15" t="s">
        <v>67</v>
      </c>
      <c r="H35" s="17" t="n">
        <v>46336</v>
      </c>
      <c r="I35" s="17" t="n">
        <v>46338</v>
      </c>
      <c r="J35" s="18" t="s">
        <v>68</v>
      </c>
      <c r="K35" s="18" t="s">
        <v>69</v>
      </c>
      <c r="L35" s="18" t="s">
        <v>76</v>
      </c>
      <c r="M35" s="18" t="s">
        <v>76</v>
      </c>
      <c r="N35" s="18" t="s">
        <v>76</v>
      </c>
      <c r="O35" s="18" t="s">
        <v>76</v>
      </c>
      <c r="P35" s="15" t="s">
        <v>71</v>
      </c>
      <c r="Q35" s="16" t="s">
        <v>216</v>
      </c>
    </row>
    <row r="36" customFormat="false" ht="15" hidden="false" customHeight="true" outlineLevel="0" collapsed="false">
      <c r="A36" s="15" t="s">
        <v>217</v>
      </c>
      <c r="B36" s="15" t="s">
        <v>28</v>
      </c>
      <c r="C36" s="15" t="s">
        <v>29</v>
      </c>
      <c r="D36" s="16" t="s">
        <v>155</v>
      </c>
      <c r="E36" s="16" t="s">
        <v>218</v>
      </c>
      <c r="F36" s="16" t="s">
        <v>219</v>
      </c>
      <c r="G36" s="15" t="s">
        <v>67</v>
      </c>
      <c r="H36" s="17" t="n">
        <v>46336</v>
      </c>
      <c r="I36" s="17" t="n">
        <v>46338</v>
      </c>
      <c r="J36" s="18" t="s">
        <v>68</v>
      </c>
      <c r="K36" s="18" t="s">
        <v>69</v>
      </c>
      <c r="L36" s="18" t="s">
        <v>76</v>
      </c>
      <c r="M36" s="18" t="s">
        <v>76</v>
      </c>
      <c r="N36" s="18" t="s">
        <v>76</v>
      </c>
      <c r="O36" s="18" t="s">
        <v>76</v>
      </c>
      <c r="P36" s="15" t="s">
        <v>71</v>
      </c>
      <c r="Q36" s="16"/>
    </row>
    <row r="37" customFormat="false" ht="15" hidden="false" customHeight="true" outlineLevel="0" collapsed="false">
      <c r="A37" s="15" t="s">
        <v>220</v>
      </c>
      <c r="B37" s="15" t="s">
        <v>28</v>
      </c>
      <c r="C37" s="15" t="s">
        <v>29</v>
      </c>
      <c r="D37" s="16" t="s">
        <v>155</v>
      </c>
      <c r="E37" s="16" t="s">
        <v>221</v>
      </c>
      <c r="F37" s="16" t="s">
        <v>222</v>
      </c>
      <c r="G37" s="15" t="s">
        <v>67</v>
      </c>
      <c r="H37" s="17" t="n">
        <v>46336</v>
      </c>
      <c r="I37" s="17" t="n">
        <v>46338</v>
      </c>
      <c r="J37" s="18" t="s">
        <v>68</v>
      </c>
      <c r="K37" s="18" t="s">
        <v>69</v>
      </c>
      <c r="L37" s="18" t="s">
        <v>70</v>
      </c>
      <c r="M37" s="18" t="s">
        <v>70</v>
      </c>
      <c r="N37" s="18" t="s">
        <v>70</v>
      </c>
      <c r="O37" s="18" t="s">
        <v>70</v>
      </c>
      <c r="P37" s="15" t="s">
        <v>71</v>
      </c>
      <c r="Q37" s="16" t="s">
        <v>223</v>
      </c>
    </row>
    <row r="38" customFormat="false" ht="15" hidden="false" customHeight="true" outlineLevel="0" collapsed="false">
      <c r="A38" s="15" t="s">
        <v>224</v>
      </c>
      <c r="B38" s="15" t="s">
        <v>20</v>
      </c>
      <c r="C38" s="15" t="s">
        <v>21</v>
      </c>
      <c r="D38" s="16" t="s">
        <v>126</v>
      </c>
      <c r="E38" s="16" t="s">
        <v>225</v>
      </c>
      <c r="F38" s="16" t="s">
        <v>226</v>
      </c>
      <c r="G38" s="15" t="s">
        <v>86</v>
      </c>
      <c r="H38" s="17" t="n">
        <v>46308</v>
      </c>
      <c r="I38" s="17" t="n">
        <v>46314</v>
      </c>
      <c r="J38" s="18" t="s">
        <v>81</v>
      </c>
      <c r="K38" s="18" t="s">
        <v>56</v>
      </c>
      <c r="L38" s="18" t="s">
        <v>115</v>
      </c>
      <c r="M38" s="18" t="s">
        <v>115</v>
      </c>
      <c r="N38" s="18" t="s">
        <v>92</v>
      </c>
      <c r="O38" s="18" t="s">
        <v>115</v>
      </c>
      <c r="P38" s="15" t="s">
        <v>71</v>
      </c>
      <c r="Q38" s="16" t="s">
        <v>227</v>
      </c>
    </row>
    <row r="39" customFormat="false" ht="15" hidden="false" customHeight="true" outlineLevel="0" collapsed="false">
      <c r="A39" s="15" t="s">
        <v>228</v>
      </c>
      <c r="B39" s="15" t="s">
        <v>20</v>
      </c>
      <c r="C39" s="15" t="s">
        <v>21</v>
      </c>
      <c r="D39" s="16" t="s">
        <v>126</v>
      </c>
      <c r="E39" s="16" t="s">
        <v>229</v>
      </c>
      <c r="F39" s="16" t="s">
        <v>230</v>
      </c>
      <c r="G39" s="15" t="s">
        <v>86</v>
      </c>
      <c r="H39" s="17" t="n">
        <v>46308</v>
      </c>
      <c r="I39" s="17" t="n">
        <v>46314</v>
      </c>
      <c r="J39" s="18" t="s">
        <v>81</v>
      </c>
      <c r="K39" s="18" t="s">
        <v>56</v>
      </c>
      <c r="L39" s="18" t="s">
        <v>115</v>
      </c>
      <c r="M39" s="18" t="s">
        <v>115</v>
      </c>
      <c r="N39" s="18" t="s">
        <v>92</v>
      </c>
      <c r="O39" s="18" t="s">
        <v>115</v>
      </c>
      <c r="P39" s="15" t="s">
        <v>71</v>
      </c>
      <c r="Q39" s="16" t="s">
        <v>231</v>
      </c>
    </row>
    <row r="40" customFormat="false" ht="15" hidden="false" customHeight="true" outlineLevel="0" collapsed="false">
      <c r="A40" s="15" t="s">
        <v>232</v>
      </c>
      <c r="B40" s="15" t="s">
        <v>20</v>
      </c>
      <c r="C40" s="15" t="s">
        <v>21</v>
      </c>
      <c r="D40" s="16" t="s">
        <v>126</v>
      </c>
      <c r="E40" s="16" t="s">
        <v>233</v>
      </c>
      <c r="F40" s="16" t="s">
        <v>234</v>
      </c>
      <c r="G40" s="15" t="s">
        <v>86</v>
      </c>
      <c r="H40" s="17" t="n">
        <v>46308</v>
      </c>
      <c r="I40" s="17" t="n">
        <v>46314</v>
      </c>
      <c r="J40" s="18" t="s">
        <v>81</v>
      </c>
      <c r="K40" s="18" t="s">
        <v>56</v>
      </c>
      <c r="L40" s="18" t="s">
        <v>115</v>
      </c>
      <c r="M40" s="18" t="s">
        <v>76</v>
      </c>
      <c r="N40" s="18" t="s">
        <v>76</v>
      </c>
      <c r="O40" s="18" t="s">
        <v>76</v>
      </c>
      <c r="P40" s="15" t="s">
        <v>71</v>
      </c>
      <c r="Q40" s="16" t="s">
        <v>235</v>
      </c>
    </row>
    <row r="41" customFormat="false" ht="15" hidden="false" customHeight="true" outlineLevel="0" collapsed="false">
      <c r="A41" s="15" t="s">
        <v>236</v>
      </c>
      <c r="B41" s="15" t="s">
        <v>20</v>
      </c>
      <c r="C41" s="15" t="s">
        <v>21</v>
      </c>
      <c r="D41" s="16" t="s">
        <v>112</v>
      </c>
      <c r="E41" s="16" t="s">
        <v>237</v>
      </c>
      <c r="F41" s="16" t="s">
        <v>238</v>
      </c>
      <c r="G41" s="15" t="s">
        <v>86</v>
      </c>
      <c r="H41" s="17" t="n">
        <v>46308</v>
      </c>
      <c r="I41" s="17" t="n">
        <v>46314</v>
      </c>
      <c r="J41" s="18" t="s">
        <v>81</v>
      </c>
      <c r="K41" s="18" t="s">
        <v>56</v>
      </c>
      <c r="L41" s="18" t="s">
        <v>70</v>
      </c>
      <c r="M41" s="18" t="s">
        <v>70</v>
      </c>
      <c r="N41" s="18" t="s">
        <v>70</v>
      </c>
      <c r="O41" s="18" t="s">
        <v>70</v>
      </c>
      <c r="P41" s="15" t="s">
        <v>71</v>
      </c>
      <c r="Q41" s="16" t="s">
        <v>239</v>
      </c>
    </row>
    <row r="42" customFormat="false" ht="15" hidden="false" customHeight="true" outlineLevel="0" collapsed="false">
      <c r="A42" s="15" t="s">
        <v>240</v>
      </c>
      <c r="B42" s="15" t="s">
        <v>20</v>
      </c>
      <c r="C42" s="15" t="s">
        <v>21</v>
      </c>
      <c r="D42" s="16" t="s">
        <v>155</v>
      </c>
      <c r="E42" s="16" t="s">
        <v>241</v>
      </c>
      <c r="F42" s="16" t="s">
        <v>242</v>
      </c>
      <c r="G42" s="15" t="s">
        <v>86</v>
      </c>
      <c r="H42" s="17" t="n">
        <v>46308</v>
      </c>
      <c r="I42" s="17" t="n">
        <v>46314</v>
      </c>
      <c r="J42" s="18" t="s">
        <v>81</v>
      </c>
      <c r="K42" s="18" t="s">
        <v>56</v>
      </c>
      <c r="L42" s="18" t="s">
        <v>92</v>
      </c>
      <c r="M42" s="18" t="s">
        <v>92</v>
      </c>
      <c r="N42" s="18" t="s">
        <v>92</v>
      </c>
      <c r="O42" s="18" t="s">
        <v>92</v>
      </c>
      <c r="P42" s="15" t="s">
        <v>71</v>
      </c>
      <c r="Q42" s="16" t="s">
        <v>243</v>
      </c>
    </row>
    <row r="43" customFormat="false" ht="15" hidden="false" customHeight="true" outlineLevel="0" collapsed="false">
      <c r="A43" s="15" t="s">
        <v>244</v>
      </c>
      <c r="B43" s="15" t="s">
        <v>20</v>
      </c>
      <c r="C43" s="15" t="s">
        <v>21</v>
      </c>
      <c r="D43" s="16" t="s">
        <v>155</v>
      </c>
      <c r="E43" s="16" t="s">
        <v>245</v>
      </c>
      <c r="F43" s="16" t="s">
        <v>246</v>
      </c>
      <c r="G43" s="15" t="s">
        <v>86</v>
      </c>
      <c r="H43" s="17" t="n">
        <v>46308</v>
      </c>
      <c r="I43" s="17" t="n">
        <v>46314</v>
      </c>
      <c r="J43" s="18" t="s">
        <v>68</v>
      </c>
      <c r="K43" s="18" t="s">
        <v>69</v>
      </c>
      <c r="L43" s="18" t="s">
        <v>76</v>
      </c>
      <c r="M43" s="18" t="s">
        <v>76</v>
      </c>
      <c r="N43" s="18" t="s">
        <v>76</v>
      </c>
      <c r="O43" s="18" t="s">
        <v>76</v>
      </c>
      <c r="P43" s="15" t="s">
        <v>71</v>
      </c>
      <c r="Q43" s="16" t="s">
        <v>247</v>
      </c>
    </row>
    <row r="44" customFormat="false" ht="15" hidden="false" customHeight="true" outlineLevel="0" collapsed="false">
      <c r="A44" s="15" t="s">
        <v>248</v>
      </c>
      <c r="B44" s="15" t="s">
        <v>20</v>
      </c>
      <c r="C44" s="15" t="s">
        <v>21</v>
      </c>
      <c r="D44" s="16" t="s">
        <v>164</v>
      </c>
      <c r="E44" s="16" t="s">
        <v>249</v>
      </c>
      <c r="F44" s="16" t="s">
        <v>250</v>
      </c>
      <c r="G44" s="15" t="s">
        <v>67</v>
      </c>
      <c r="H44" s="17" t="n">
        <v>46308</v>
      </c>
      <c r="I44" s="17" t="n">
        <v>46314</v>
      </c>
      <c r="J44" s="18" t="s">
        <v>68</v>
      </c>
      <c r="K44" s="18" t="s">
        <v>69</v>
      </c>
      <c r="L44" s="18" t="s">
        <v>70</v>
      </c>
      <c r="M44" s="18" t="s">
        <v>70</v>
      </c>
      <c r="N44" s="18" t="s">
        <v>70</v>
      </c>
      <c r="O44" s="18" t="s">
        <v>70</v>
      </c>
      <c r="P44" s="15" t="s">
        <v>71</v>
      </c>
      <c r="Q44" s="16" t="s">
        <v>251</v>
      </c>
    </row>
  </sheetData>
  <autoFilter ref="A1:Q37"/>
  <conditionalFormatting sqref="J2:J200">
    <cfRule type="cellIs" priority="2" operator="equal" aboveAverage="0" equalAverage="0" bottom="0" percent="0" rank="0" text="" dxfId="7">
      <formula>"Fait"</formula>
    </cfRule>
    <cfRule type="cellIs" priority="3" operator="equal" aboveAverage="0" equalAverage="0" bottom="0" percent="0" rank="0" text="" dxfId="8">
      <formula>"En cours"</formula>
    </cfRule>
    <cfRule type="cellIs" priority="4" operator="equal" aboveAverage="0" equalAverage="0" bottom="0" percent="0" rank="0" text="" dxfId="9">
      <formula>"Bloqué"</formula>
    </cfRule>
    <cfRule type="cellIs" priority="5" operator="equal" aboveAverage="0" equalAverage="0" bottom="0" percent="0" rank="0" text="" dxfId="10">
      <formula>"Coupé"</formula>
    </cfRule>
  </conditionalFormatting>
  <conditionalFormatting sqref="K2:K200">
    <cfRule type="cellIs" priority="6" operator="equal" aboveAverage="0" equalAverage="0" bottom="0" percent="0" rank="0" text="" dxfId="7">
      <formula>"Vérifié"</formula>
    </cfRule>
  </conditionalFormatting>
  <conditionalFormatting sqref="L2:O200">
    <cfRule type="cellIs" priority="7" operator="equal" aboveAverage="0" equalAverage="0" bottom="0" percent="0" rank="0" text="" dxfId="7">
      <formula>"Oui"</formula>
    </cfRule>
    <cfRule type="cellIs" priority="8" operator="equal" aboveAverage="0" equalAverage="0" bottom="0" percent="0" rank="0" text="" dxfId="11">
      <formula>"À confirmer"</formula>
    </cfRule>
  </conditionalFormatting>
  <dataValidations count="3">
    <dataValidation allowBlank="false" errorStyle="stop" operator="between" showDropDown="false" showErrorMessage="false" showInputMessage="false" sqref="J2:J200" type="list">
      <formula1>"À faire,En cours,Fait,Bloqué,Coupé"</formula1>
      <formula2>0</formula2>
    </dataValidation>
    <dataValidation allowBlank="false" errorStyle="stop" operator="between" showDropDown="false" showErrorMessage="false" showInputMessage="false" sqref="K2:K200" type="list">
      <formula1>"Non vérifié,Vérifié"</formula1>
      <formula2>0</formula2>
    </dataValidation>
    <dataValidation allowBlank="false" errorStyle="stop" operator="between" showDropDown="false" showErrorMessage="false" showInputMessage="false" sqref="L2:O200" type="list">
      <formula1>"Non,Oui,Sans objet,À confirmer"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0"/>
    <col collapsed="false" customWidth="true" hidden="false" outlineLevel="0" max="3" min="3" style="1" width="18"/>
    <col collapsed="false" customWidth="true" hidden="false" outlineLevel="0" max="4" min="4" style="1" width="56"/>
  </cols>
  <sheetData>
    <row r="1" customFormat="false" ht="15" hidden="false" customHeight="true" outlineLevel="0" collapsed="false">
      <c r="A1" s="14" t="s">
        <v>48</v>
      </c>
      <c r="B1" s="14" t="s">
        <v>252</v>
      </c>
      <c r="C1" s="14" t="s">
        <v>55</v>
      </c>
      <c r="D1" s="14" t="s">
        <v>253</v>
      </c>
    </row>
    <row r="2" customFormat="false" ht="15" hidden="false" customHeight="true" outlineLevel="0" collapsed="false">
      <c r="A2" s="15" t="s">
        <v>254</v>
      </c>
      <c r="B2" s="16" t="s">
        <v>255</v>
      </c>
      <c r="C2" s="18" t="s">
        <v>256</v>
      </c>
      <c r="D2" s="16" t="s">
        <v>257</v>
      </c>
    </row>
    <row r="3" customFormat="false" ht="15" hidden="false" customHeight="true" outlineLevel="0" collapsed="false">
      <c r="A3" s="15" t="s">
        <v>258</v>
      </c>
      <c r="B3" s="16" t="s">
        <v>259</v>
      </c>
      <c r="C3" s="18" t="s">
        <v>256</v>
      </c>
      <c r="D3" s="16" t="s">
        <v>260</v>
      </c>
    </row>
    <row r="4" customFormat="false" ht="15" hidden="false" customHeight="true" outlineLevel="0" collapsed="false">
      <c r="A4" s="15" t="s">
        <v>261</v>
      </c>
      <c r="B4" s="16" t="s">
        <v>262</v>
      </c>
      <c r="C4" s="18" t="s">
        <v>256</v>
      </c>
      <c r="D4" s="16" t="s">
        <v>263</v>
      </c>
    </row>
    <row r="5" customFormat="false" ht="15" hidden="false" customHeight="true" outlineLevel="0" collapsed="false">
      <c r="A5" s="15" t="s">
        <v>264</v>
      </c>
      <c r="B5" s="16" t="s">
        <v>265</v>
      </c>
      <c r="C5" s="18" t="s">
        <v>266</v>
      </c>
      <c r="D5" s="16" t="s">
        <v>267</v>
      </c>
    </row>
    <row r="6" customFormat="false" ht="15" hidden="false" customHeight="true" outlineLevel="0" collapsed="false">
      <c r="A6" s="15" t="s">
        <v>268</v>
      </c>
      <c r="B6" s="16" t="s">
        <v>269</v>
      </c>
      <c r="C6" s="18" t="s">
        <v>256</v>
      </c>
      <c r="D6" s="16" t="s">
        <v>270</v>
      </c>
    </row>
    <row r="7" customFormat="false" ht="23.25" hidden="false" customHeight="true" outlineLevel="0" collapsed="false">
      <c r="A7" s="15" t="s">
        <v>271</v>
      </c>
      <c r="B7" s="16" t="s">
        <v>272</v>
      </c>
      <c r="C7" s="18" t="s">
        <v>266</v>
      </c>
      <c r="D7" s="16" t="s">
        <v>273</v>
      </c>
    </row>
    <row r="8" customFormat="false" ht="15" hidden="false" customHeight="true" outlineLevel="0" collapsed="false">
      <c r="A8" s="15" t="s">
        <v>274</v>
      </c>
      <c r="B8" s="16" t="s">
        <v>275</v>
      </c>
      <c r="C8" s="18" t="s">
        <v>266</v>
      </c>
      <c r="D8" s="16" t="s">
        <v>276</v>
      </c>
    </row>
    <row r="9" customFormat="false" ht="15" hidden="false" customHeight="true" outlineLevel="0" collapsed="false">
      <c r="A9" s="15" t="s">
        <v>277</v>
      </c>
      <c r="B9" s="16" t="s">
        <v>278</v>
      </c>
      <c r="C9" s="18" t="s">
        <v>266</v>
      </c>
      <c r="D9" s="16" t="s">
        <v>279</v>
      </c>
    </row>
    <row r="10" customFormat="false" ht="15" hidden="false" customHeight="true" outlineLevel="0" collapsed="false">
      <c r="A10" s="15" t="s">
        <v>280</v>
      </c>
      <c r="B10" s="16" t="s">
        <v>281</v>
      </c>
      <c r="C10" s="18" t="s">
        <v>266</v>
      </c>
      <c r="D10" s="16" t="s">
        <v>282</v>
      </c>
    </row>
    <row r="11" customFormat="false" ht="15" hidden="false" customHeight="true" outlineLevel="0" collapsed="false">
      <c r="A11" s="15" t="s">
        <v>283</v>
      </c>
      <c r="B11" s="16" t="s">
        <v>284</v>
      </c>
      <c r="C11" s="18" t="s">
        <v>285</v>
      </c>
      <c r="D11" s="16" t="s">
        <v>286</v>
      </c>
    </row>
    <row r="12" customFormat="false" ht="15" hidden="false" customHeight="true" outlineLevel="0" collapsed="false">
      <c r="A12" s="15" t="s">
        <v>287</v>
      </c>
      <c r="B12" s="16" t="s">
        <v>288</v>
      </c>
      <c r="C12" s="18" t="s">
        <v>289</v>
      </c>
      <c r="D12" s="16" t="s">
        <v>290</v>
      </c>
    </row>
    <row r="13" customFormat="false" ht="15" hidden="false" customHeight="true" outlineLevel="0" collapsed="false">
      <c r="A13" s="15" t="s">
        <v>291</v>
      </c>
      <c r="B13" s="16" t="s">
        <v>292</v>
      </c>
      <c r="C13" s="18" t="s">
        <v>285</v>
      </c>
      <c r="D13" s="16" t="s">
        <v>293</v>
      </c>
    </row>
    <row r="14" customFormat="false" ht="15" hidden="false" customHeight="true" outlineLevel="0" collapsed="false">
      <c r="A14" s="15" t="s">
        <v>294</v>
      </c>
      <c r="B14" s="16" t="s">
        <v>295</v>
      </c>
      <c r="C14" s="18" t="s">
        <v>266</v>
      </c>
      <c r="D14" s="16" t="s">
        <v>296</v>
      </c>
    </row>
    <row r="15" customFormat="false" ht="15" hidden="false" customHeight="true" outlineLevel="0" collapsed="false">
      <c r="A15" s="15" t="s">
        <v>297</v>
      </c>
      <c r="B15" s="16" t="s">
        <v>298</v>
      </c>
      <c r="C15" s="18" t="s">
        <v>285</v>
      </c>
      <c r="D15" s="16" t="s">
        <v>299</v>
      </c>
    </row>
    <row r="16" customFormat="false" ht="15" hidden="false" customHeight="true" outlineLevel="0" collapsed="false">
      <c r="A16" s="15" t="s">
        <v>300</v>
      </c>
      <c r="B16" s="16" t="s">
        <v>301</v>
      </c>
      <c r="C16" s="18" t="s">
        <v>285</v>
      </c>
      <c r="D16" s="16" t="s">
        <v>302</v>
      </c>
    </row>
    <row r="17" customFormat="false" ht="15" hidden="false" customHeight="true" outlineLevel="0" collapsed="false">
      <c r="A17" s="15" t="s">
        <v>303</v>
      </c>
      <c r="B17" s="16" t="s">
        <v>304</v>
      </c>
      <c r="C17" s="18" t="s">
        <v>285</v>
      </c>
      <c r="D17" s="16" t="s">
        <v>305</v>
      </c>
    </row>
    <row r="18" customFormat="false" ht="15" hidden="false" customHeight="true" outlineLevel="0" collapsed="false">
      <c r="A18" s="15" t="s">
        <v>306</v>
      </c>
      <c r="B18" s="16" t="s">
        <v>307</v>
      </c>
      <c r="C18" s="18" t="s">
        <v>285</v>
      </c>
      <c r="D18" s="16" t="s">
        <v>308</v>
      </c>
    </row>
    <row r="19" customFormat="false" ht="15" hidden="false" customHeight="true" outlineLevel="0" collapsed="false">
      <c r="A19" s="15" t="s">
        <v>309</v>
      </c>
      <c r="B19" s="16" t="s">
        <v>310</v>
      </c>
      <c r="C19" s="18" t="s">
        <v>285</v>
      </c>
      <c r="D19" s="16" t="s">
        <v>311</v>
      </c>
    </row>
    <row r="20" customFormat="false" ht="15" hidden="false" customHeight="true" outlineLevel="0" collapsed="false">
      <c r="A20" s="15" t="s">
        <v>312</v>
      </c>
      <c r="B20" s="16" t="s">
        <v>313</v>
      </c>
      <c r="C20" s="18" t="s">
        <v>266</v>
      </c>
      <c r="D20" s="16" t="s">
        <v>314</v>
      </c>
    </row>
  </sheetData>
  <conditionalFormatting sqref="C2:C100">
    <cfRule type="cellIs" priority="2" operator="equal" aboveAverage="0" equalAverage="0" bottom="0" percent="0" rank="0" text="" dxfId="7">
      <formula>"Actée"</formula>
    </cfRule>
    <cfRule type="cellIs" priority="3" operator="equal" aboveAverage="0" equalAverage="0" bottom="0" percent="0" rank="0" text="" dxfId="8">
      <formula>"À valider"</formula>
    </cfRule>
    <cfRule type="cellIs" priority="4" operator="equal" aboveAverage="0" equalAverage="0" bottom="0" percent="0" rank="0" text="" dxfId="9">
      <formula>"Refusée"</formula>
    </cfRule>
  </conditionalFormatting>
  <dataValidations count="1">
    <dataValidation allowBlank="false" errorStyle="stop" operator="between" showDropDown="false" showErrorMessage="false" showInputMessage="false" sqref="C2:C100" type="list">
      <formula1>"À valider,Actée,Fixé par défaut,Refusée,Révisée"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2"/>
    <col collapsed="false" customWidth="true" hidden="false" outlineLevel="0" max="3" min="3" style="1" width="70"/>
  </cols>
  <sheetData>
    <row r="1" customFormat="false" ht="15" hidden="false" customHeight="true" outlineLevel="0" collapsed="false">
      <c r="A1" s="14" t="s">
        <v>315</v>
      </c>
      <c r="B1" s="14" t="s">
        <v>316</v>
      </c>
      <c r="C1" s="14" t="s">
        <v>317</v>
      </c>
    </row>
    <row r="2" customFormat="false" ht="15" hidden="false" customHeight="true" outlineLevel="0" collapsed="false">
      <c r="A2" s="16" t="s">
        <v>318</v>
      </c>
      <c r="B2" s="16" t="s">
        <v>319</v>
      </c>
      <c r="C2" s="16" t="s">
        <v>320</v>
      </c>
    </row>
    <row r="3" customFormat="false" ht="15" hidden="false" customHeight="true" outlineLevel="0" collapsed="false">
      <c r="A3" s="16" t="s">
        <v>321</v>
      </c>
      <c r="B3" s="16" t="s">
        <v>322</v>
      </c>
      <c r="C3" s="16" t="s">
        <v>323</v>
      </c>
    </row>
    <row r="4" customFormat="false" ht="15" hidden="false" customHeight="true" outlineLevel="0" collapsed="false">
      <c r="A4" s="16" t="s">
        <v>324</v>
      </c>
      <c r="B4" s="16" t="s">
        <v>325</v>
      </c>
      <c r="C4" s="16" t="s">
        <v>194</v>
      </c>
    </row>
    <row r="5" customFormat="false" ht="15" hidden="false" customHeight="true" outlineLevel="0" collapsed="false">
      <c r="A5" s="16" t="s">
        <v>326</v>
      </c>
      <c r="B5" s="16" t="s">
        <v>327</v>
      </c>
      <c r="C5" s="16"/>
    </row>
    <row r="6" customFormat="false" ht="15" hidden="false" customHeight="true" outlineLevel="0" collapsed="false">
      <c r="A6" s="16" t="s">
        <v>328</v>
      </c>
      <c r="B6" s="16" t="s">
        <v>329</v>
      </c>
      <c r="C6" s="16"/>
    </row>
    <row r="7" customFormat="false" ht="15" hidden="false" customHeight="true" outlineLevel="0" collapsed="false">
      <c r="A7" s="16" t="s">
        <v>328</v>
      </c>
      <c r="B7" s="16" t="s">
        <v>330</v>
      </c>
      <c r="C7" s="16" t="s">
        <v>331</v>
      </c>
    </row>
    <row r="8" customFormat="false" ht="15" hidden="false" customHeight="true" outlineLevel="0" collapsed="false">
      <c r="A8" s="16" t="s">
        <v>328</v>
      </c>
      <c r="B8" s="16" t="s">
        <v>332</v>
      </c>
      <c r="C8" s="16" t="s">
        <v>333</v>
      </c>
    </row>
    <row r="9" customFormat="false" ht="15" hidden="false" customHeight="true" outlineLevel="0" collapsed="false">
      <c r="A9" s="16" t="s">
        <v>328</v>
      </c>
      <c r="B9" s="16" t="s">
        <v>334</v>
      </c>
      <c r="C9" s="16"/>
    </row>
    <row r="10" customFormat="false" ht="15" hidden="false" customHeight="true" outlineLevel="0" collapsed="false">
      <c r="A10" s="16" t="s">
        <v>328</v>
      </c>
      <c r="B10" s="16" t="s">
        <v>335</v>
      </c>
      <c r="C10" s="16"/>
    </row>
    <row r="11" customFormat="false" ht="15" hidden="false" customHeight="true" outlineLevel="0" collapsed="false">
      <c r="A11" s="16" t="s">
        <v>336</v>
      </c>
      <c r="B11" s="16" t="s">
        <v>337</v>
      </c>
      <c r="C11" s="16" t="s">
        <v>338</v>
      </c>
    </row>
    <row r="12" customFormat="false" ht="15" hidden="false" customHeight="true" outlineLevel="0" collapsed="false">
      <c r="A12" s="16" t="s">
        <v>336</v>
      </c>
      <c r="B12" s="16" t="s">
        <v>339</v>
      </c>
      <c r="C12" s="16" t="s">
        <v>340</v>
      </c>
    </row>
    <row r="13" customFormat="false" ht="15" hidden="false" customHeight="true" outlineLevel="0" collapsed="false">
      <c r="A13" s="16" t="s">
        <v>336</v>
      </c>
      <c r="B13" s="16" t="s">
        <v>341</v>
      </c>
      <c r="C13" s="16" t="s">
        <v>342</v>
      </c>
    </row>
    <row r="14" customFormat="false" ht="23.25" hidden="false" customHeight="true" outlineLevel="0" collapsed="false">
      <c r="A14" s="16" t="s">
        <v>336</v>
      </c>
      <c r="B14" s="16" t="s">
        <v>343</v>
      </c>
      <c r="C14" s="16" t="s">
        <v>344</v>
      </c>
    </row>
    <row r="15" customFormat="false" ht="23.25" hidden="false" customHeight="true" outlineLevel="0" collapsed="false">
      <c r="A15" s="16" t="s">
        <v>336</v>
      </c>
      <c r="B15" s="16" t="s">
        <v>345</v>
      </c>
      <c r="C15" s="16" t="s">
        <v>346</v>
      </c>
    </row>
    <row r="16" customFormat="false" ht="23.25" hidden="false" customHeight="true" outlineLevel="0" collapsed="false">
      <c r="A16" s="16" t="s">
        <v>336</v>
      </c>
      <c r="B16" s="16" t="s">
        <v>347</v>
      </c>
      <c r="C16" s="16" t="s">
        <v>348</v>
      </c>
    </row>
    <row r="17" customFormat="false" ht="23.25" hidden="false" customHeight="true" outlineLevel="0" collapsed="false">
      <c r="A17" s="16" t="s">
        <v>336</v>
      </c>
      <c r="B17" s="16" t="s">
        <v>349</v>
      </c>
      <c r="C17" s="16" t="s">
        <v>350</v>
      </c>
    </row>
    <row r="18" customFormat="false" ht="23.25" hidden="false" customHeight="true" outlineLevel="0" collapsed="false">
      <c r="A18" s="16" t="s">
        <v>336</v>
      </c>
      <c r="B18" s="16" t="s">
        <v>351</v>
      </c>
      <c r="C18" s="16" t="s">
        <v>352</v>
      </c>
    </row>
    <row r="19" customFormat="false" ht="23.25" hidden="false" customHeight="true" outlineLevel="0" collapsed="false">
      <c r="A19" s="16" t="s">
        <v>336</v>
      </c>
      <c r="B19" s="16" t="s">
        <v>353</v>
      </c>
      <c r="C19" s="16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0"/>
    <col collapsed="false" customWidth="true" hidden="false" outlineLevel="0" max="3" min="3" style="1" width="14"/>
    <col collapsed="false" customWidth="true" hidden="false" outlineLevel="0" max="4" min="4" style="1" width="56"/>
  </cols>
  <sheetData>
    <row r="1" customFormat="false" ht="15" hidden="false" customHeight="true" outlineLevel="0" collapsed="false">
      <c r="A1" s="14" t="s">
        <v>48</v>
      </c>
      <c r="B1" s="14" t="s">
        <v>355</v>
      </c>
      <c r="C1" s="14" t="s">
        <v>55</v>
      </c>
      <c r="D1" s="14" t="s">
        <v>253</v>
      </c>
    </row>
    <row r="2" customFormat="false" ht="15" hidden="false" customHeight="true" outlineLevel="0" collapsed="false">
      <c r="A2" s="15" t="s">
        <v>356</v>
      </c>
      <c r="B2" s="16" t="s">
        <v>65</v>
      </c>
      <c r="C2" s="18" t="s">
        <v>68</v>
      </c>
      <c r="D2" s="16"/>
    </row>
    <row r="3" customFormat="false" ht="15" hidden="false" customHeight="true" outlineLevel="0" collapsed="false">
      <c r="A3" s="15" t="s">
        <v>357</v>
      </c>
      <c r="B3" s="16" t="s">
        <v>358</v>
      </c>
      <c r="C3" s="18" t="s">
        <v>81</v>
      </c>
      <c r="D3" s="16" t="s">
        <v>359</v>
      </c>
    </row>
    <row r="4" customFormat="false" ht="15" hidden="false" customHeight="true" outlineLevel="0" collapsed="false">
      <c r="A4" s="15" t="s">
        <v>360</v>
      </c>
      <c r="B4" s="16" t="s">
        <v>361</v>
      </c>
      <c r="C4" s="18" t="s">
        <v>68</v>
      </c>
      <c r="D4" s="16" t="s">
        <v>362</v>
      </c>
    </row>
    <row r="5" customFormat="false" ht="15" hidden="false" customHeight="true" outlineLevel="0" collapsed="false">
      <c r="A5" s="15" t="s">
        <v>363</v>
      </c>
      <c r="B5" s="16" t="s">
        <v>364</v>
      </c>
      <c r="C5" s="18" t="s">
        <v>68</v>
      </c>
      <c r="D5" s="16" t="s">
        <v>365</v>
      </c>
    </row>
    <row r="6" customFormat="false" ht="15" hidden="false" customHeight="true" outlineLevel="0" collapsed="false">
      <c r="A6" s="15" t="s">
        <v>366</v>
      </c>
      <c r="B6" s="16" t="s">
        <v>367</v>
      </c>
      <c r="C6" s="18" t="s">
        <v>68</v>
      </c>
      <c r="D6" s="16" t="s">
        <v>368</v>
      </c>
    </row>
    <row r="7" customFormat="false" ht="15" hidden="false" customHeight="true" outlineLevel="0" collapsed="false">
      <c r="A7" s="15" t="s">
        <v>369</v>
      </c>
      <c r="B7" s="16" t="s">
        <v>370</v>
      </c>
      <c r="C7" s="18" t="s">
        <v>68</v>
      </c>
      <c r="D7" s="16" t="s">
        <v>371</v>
      </c>
    </row>
    <row r="8" customFormat="false" ht="15" hidden="false" customHeight="true" outlineLevel="0" collapsed="false">
      <c r="A8" s="15" t="s">
        <v>372</v>
      </c>
      <c r="B8" s="16" t="s">
        <v>373</v>
      </c>
      <c r="C8" s="18" t="s">
        <v>68</v>
      </c>
      <c r="D8" s="16" t="s">
        <v>374</v>
      </c>
    </row>
    <row r="9" customFormat="false" ht="15" hidden="false" customHeight="true" outlineLevel="0" collapsed="false">
      <c r="A9" s="15" t="s">
        <v>375</v>
      </c>
      <c r="B9" s="16" t="s">
        <v>376</v>
      </c>
      <c r="C9" s="18" t="s">
        <v>68</v>
      </c>
      <c r="D9" s="16" t="s">
        <v>377</v>
      </c>
    </row>
    <row r="10" customFormat="false" ht="15" hidden="false" customHeight="true" outlineLevel="0" collapsed="false">
      <c r="A10" s="15" t="s">
        <v>378</v>
      </c>
      <c r="B10" s="16" t="s">
        <v>379</v>
      </c>
      <c r="C10" s="18" t="s">
        <v>68</v>
      </c>
      <c r="D10" s="16" t="s">
        <v>380</v>
      </c>
    </row>
    <row r="11" customFormat="false" ht="15" hidden="false" customHeight="true" outlineLevel="0" collapsed="false">
      <c r="A11" s="15" t="s">
        <v>381</v>
      </c>
      <c r="B11" s="16" t="s">
        <v>382</v>
      </c>
      <c r="C11" s="18" t="s">
        <v>68</v>
      </c>
      <c r="D11" s="16" t="s">
        <v>383</v>
      </c>
    </row>
    <row r="12" customFormat="false" ht="15" hidden="false" customHeight="true" outlineLevel="0" collapsed="false">
      <c r="A12" s="15" t="s">
        <v>384</v>
      </c>
      <c r="B12" s="16" t="s">
        <v>385</v>
      </c>
      <c r="C12" s="18" t="s">
        <v>68</v>
      </c>
      <c r="D12" s="16"/>
    </row>
  </sheetData>
  <conditionalFormatting sqref="C2:C50">
    <cfRule type="cellIs" priority="2" operator="equal" aboveAverage="0" equalAverage="0" bottom="0" percent="0" rank="0" text="" dxfId="7">
      <formula>"Fait"</formula>
    </cfRule>
    <cfRule type="cellIs" priority="3" operator="equal" aboveAverage="0" equalAverage="0" bottom="0" percent="0" rank="0" text="" dxfId="8">
      <formula>"À faire"</formula>
    </cfRule>
  </conditionalFormatting>
  <dataValidations count="1">
    <dataValidation allowBlank="false" errorStyle="stop" operator="between" showDropDown="false" showErrorMessage="false" showInputMessage="false" sqref="C2:C50" type="list">
      <formula1>"À faire,Fait"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4" t="s">
        <v>386</v>
      </c>
      <c r="B1" s="14" t="s">
        <v>387</v>
      </c>
    </row>
    <row r="2" customFormat="false" ht="15" hidden="false" customHeight="true" outlineLevel="0" collapsed="false">
      <c r="A2" s="16" t="s">
        <v>388</v>
      </c>
      <c r="B2" s="16" t="s">
        <v>389</v>
      </c>
    </row>
    <row r="3" customFormat="false" ht="15" hidden="false" customHeight="true" outlineLevel="0" collapsed="false">
      <c r="A3" s="16" t="s">
        <v>390</v>
      </c>
      <c r="B3" s="16" t="s">
        <v>391</v>
      </c>
    </row>
    <row r="4" customFormat="false" ht="15" hidden="false" customHeight="true" outlineLevel="0" collapsed="false">
      <c r="A4" s="16" t="s">
        <v>392</v>
      </c>
      <c r="B4" s="16" t="s">
        <v>393</v>
      </c>
    </row>
    <row r="5" customFormat="false" ht="15" hidden="false" customHeight="true" outlineLevel="0" collapsed="false">
      <c r="A5" s="16" t="s">
        <v>392</v>
      </c>
      <c r="B5" s="16" t="s">
        <v>394</v>
      </c>
    </row>
    <row r="6" customFormat="false" ht="15" hidden="false" customHeight="true" outlineLevel="0" collapsed="false">
      <c r="A6" s="16" t="s">
        <v>392</v>
      </c>
      <c r="B6" s="16" t="s">
        <v>395</v>
      </c>
    </row>
    <row r="7" customFormat="false" ht="15" hidden="false" customHeight="true" outlineLevel="0" collapsed="false">
      <c r="A7" s="16" t="s">
        <v>392</v>
      </c>
      <c r="B7" s="16" t="s">
        <v>396</v>
      </c>
    </row>
    <row r="8" customFormat="false" ht="15" hidden="false" customHeight="true" outlineLevel="0" collapsed="false">
      <c r="A8" s="16" t="s">
        <v>392</v>
      </c>
      <c r="B8" s="16" t="s">
        <v>397</v>
      </c>
    </row>
    <row r="9" customFormat="false" ht="15" hidden="false" customHeight="true" outlineLevel="0" collapsed="false">
      <c r="A9" s="16" t="s">
        <v>392</v>
      </c>
      <c r="B9" s="16" t="s">
        <v>398</v>
      </c>
    </row>
    <row r="10" customFormat="false" ht="15" hidden="false" customHeight="true" outlineLevel="0" collapsed="false">
      <c r="A10" s="16" t="s">
        <v>392</v>
      </c>
      <c r="B10" s="16" t="s">
        <v>399</v>
      </c>
    </row>
    <row r="11" customFormat="false" ht="15" hidden="false" customHeight="true" outlineLevel="0" collapsed="false">
      <c r="A11" s="16" t="s">
        <v>400</v>
      </c>
      <c r="B11" s="16" t="s">
        <v>401</v>
      </c>
    </row>
    <row r="12" customFormat="false" ht="15" hidden="false" customHeight="true" outlineLevel="0" collapsed="false">
      <c r="A12" s="16" t="s">
        <v>402</v>
      </c>
      <c r="B12" s="16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2026-10-12T20:55:00Z</dcterms:created>
  <dc:creator>openpyxl</dc:creator>
  <dc:description/>
  <dc:language>en-US</dc:language>
  <cp:lastModifiedBy/>
  <dcterms:modified xsi:type="dcterms:W3CDTF">2026-10-15T12:20:01Z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